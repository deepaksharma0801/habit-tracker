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racker" sheetId="2" state="visible" r:id="rId4"/>
    <sheet name="Habits" sheetId="3" state="visible" r:id="rId5"/>
    <sheet name="Summary" sheetId="4" state="visible" r:id="rId6"/>
    <sheet name="Helper" sheetId="5" state="visible" r:id="rId7"/>
    <sheet name="AppScript" sheetId="6" state="visible" r:id="rId8"/>
    <sheet name="HowToUs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<sst xmlns="http://schemas.openxmlformats.org/spreadsheetml/2006/main" count="282" uniqueCount="176">
  <si>
    <t xml:space="preserve">🌿  MONTHLY HABIT DASHBOARD</t>
  </si>
  <si>
    <t xml:space="preserve">TOTAL HABITS</t>
  </si>
  <si>
    <t xml:space="preserve">AVG COMPLETION</t>
  </si>
  <si>
    <t xml:space="preserve">HABITS &gt; 80%</t>
  </si>
  <si>
    <t xml:space="preserve">STREAK LEADER</t>
  </si>
  <si>
    <t xml:space="preserve">📈  DAILY COMPLETION TREND</t>
  </si>
  <si>
    <t xml:space="preserve">🏅  TOP HABITS</t>
  </si>
  <si>
    <t xml:space="preserve">📊  CATEGORY AVGS</t>
  </si>
  <si>
    <t xml:space="preserve">Career</t>
  </si>
  <si>
    <t xml:space="preserve">Finance</t>
  </si>
  <si>
    <t xml:space="preserve">Health</t>
  </si>
  <si>
    <t xml:space="preserve">Learning</t>
  </si>
  <si>
    <t xml:space="preserve">Mindset</t>
  </si>
  <si>
    <t xml:space="preserve">🗓️  MONTHLY HEATMAP (Daily Completion %)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</si>
  <si>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</si>
  <si>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</si>
  <si>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</si>
  <si>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</si>
  <si>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</si>
  <si>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</si>
  <si>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</si>
  <si>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🎨  LEGEND &amp; COLOR KEY</t>
  </si>
  <si>
    <t xml:space="preserve">Green (#1A7A4A / #34A85A)</t>
  </si>
  <si>
    <t xml:space="preserve">High completion &gt;80%</t>
  </si>
  <si>
    <t xml:space="preserve">Amber (#F5A623)</t>
  </si>
  <si>
    <t xml:space="preserve">Mid completion 40-80%</t>
  </si>
  <si>
    <t xml:space="preserve">Red (#C0392B)</t>
  </si>
  <si>
    <t xml:space="preserve">Low completion &lt;40%</t>
  </si>
  <si>
    <t xml:space="preserve">Heatmap: gray→green ramp</t>
  </si>
  <si>
    <t xml:space="preserve">0% (gray) to 100% (deep green)</t>
  </si>
  <si>
    <t xml:space="preserve">Month:</t>
  </si>
  <si>
    <t xml:space="preserve">#</t>
  </si>
  <si>
    <t xml:space="preserve">Habit</t>
  </si>
  <si>
    <t xml:space="preserve">Category</t>
  </si>
  <si>
    <t xml:space="preserve">Progress %</t>
  </si>
  <si>
    <t xml:space="preserve">Longest
Streak</t>
  </si>
  <si>
    <t xml:space="preserve">Current
Streak</t>
  </si>
  <si>
    <t xml:space="preserve">Sparkline
(last 31d)</t>
  </si>
  <si>
    <t xml:space="preserve">Morning Exercise</t>
  </si>
  <si>
    <t xml:space="preserve">[GS: =SPARKLINE(D3:AH3)]</t>
  </si>
  <si>
    <t xml:space="preserve">Hydration 2L</t>
  </si>
  <si>
    <t xml:space="preserve">[GS: =SPARKLINE(D4:AH4)]</t>
  </si>
  <si>
    <t xml:space="preserve">Sleep by 10 pm</t>
  </si>
  <si>
    <t xml:space="preserve">[GS: =SPARKLINE(D5:AH5)]</t>
  </si>
  <si>
    <t xml:space="preserve">No Junk Food</t>
  </si>
  <si>
    <t xml:space="preserve">[GS: =SPARKLINE(D6:AH6)]</t>
  </si>
  <si>
    <t xml:space="preserve">Walk 10k Steps</t>
  </si>
  <si>
    <t xml:space="preserve">[GS: =SPARKLINE(D7:AH7)]</t>
  </si>
  <si>
    <t xml:space="preserve">Cook at Home</t>
  </si>
  <si>
    <t xml:space="preserve">[GS: =SPARKLINE(D8:AH8)]</t>
  </si>
  <si>
    <t xml:space="preserve">Read 30 min</t>
  </si>
  <si>
    <t xml:space="preserve">[GS: =SPARKLINE(D9:AH9)]</t>
  </si>
  <si>
    <t xml:space="preserve">Journal</t>
  </si>
  <si>
    <t xml:space="preserve">[GS: =SPARKLINE(D10:AH10)]</t>
  </si>
  <si>
    <t xml:space="preserve">Learn a Language</t>
  </si>
  <si>
    <t xml:space="preserve">[GS: =SPARKLINE(D11:AH11)]</t>
  </si>
  <si>
    <t xml:space="preserve">Gratitude List</t>
  </si>
  <si>
    <t xml:space="preserve">[GS: =SPARKLINE(D12:AH12)]</t>
  </si>
  <si>
    <t xml:space="preserve">Practice a Skill</t>
  </si>
  <si>
    <t xml:space="preserve">[GS: =SPARKLINE(D13:AH13)]</t>
  </si>
  <si>
    <t xml:space="preserve">Creative Work</t>
  </si>
  <si>
    <t xml:space="preserve">[GS: =SPARKLINE(D14:AH14)]</t>
  </si>
  <si>
    <t xml:space="preserve">Learning Module</t>
  </si>
  <si>
    <t xml:space="preserve">[GS: =SPARKLINE(D15:AH15)]</t>
  </si>
  <si>
    <t xml:space="preserve">Deep Work Block</t>
  </si>
  <si>
    <t xml:space="preserve">[GS: =SPARKLINE(D16:AH16)]</t>
  </si>
  <si>
    <t xml:space="preserve">Review Goals</t>
  </si>
  <si>
    <t xml:space="preserve">[GS: =SPARKLINE(D17:AH17)]</t>
  </si>
  <si>
    <t xml:space="preserve">No Social Media</t>
  </si>
  <si>
    <t xml:space="preserve">[GS: =SPARKLINE(D18:AH18)]</t>
  </si>
  <si>
    <t xml:space="preserve">Networking Task</t>
  </si>
  <si>
    <t xml:space="preserve">[GS: =SPARKLINE(D19:AH19)]</t>
  </si>
  <si>
    <t xml:space="preserve">Side Project</t>
  </si>
  <si>
    <t xml:space="preserve">[GS: =SPARKLINE(D20:AH20)]</t>
  </si>
  <si>
    <t xml:space="preserve">Read Industry News</t>
  </si>
  <si>
    <t xml:space="preserve">[GS: =SPARKLINE(D21:AH21)]</t>
  </si>
  <si>
    <t xml:space="preserve">Email Zero</t>
  </si>
  <si>
    <t xml:space="preserve">[GS: =SPARKLINE(D22:AH22)]</t>
  </si>
  <si>
    <t xml:space="preserve">Plan Tomorrow</t>
  </si>
  <si>
    <t xml:space="preserve">[GS: =SPARKLINE(D23:AH23)]</t>
  </si>
  <si>
    <t xml:space="preserve">Weekly Review</t>
  </si>
  <si>
    <t xml:space="preserve">[GS: =SPARKLINE(D24:AH24)]</t>
  </si>
  <si>
    <t xml:space="preserve">Savings Transfer</t>
  </si>
  <si>
    <t xml:space="preserve">[GS: =SPARKLINE(D25:AH25)]</t>
  </si>
  <si>
    <t xml:space="preserve">Track Spending</t>
  </si>
  <si>
    <t xml:space="preserve">[GS: =SPARKLINE(D26:AH26)]</t>
  </si>
  <si>
    <t xml:space="preserve">No Impulse Buys</t>
  </si>
  <si>
    <t xml:space="preserve">[GS: =SPARKLINE(D27:AH27)]</t>
  </si>
  <si>
    <t xml:space="preserve">Affirmations</t>
  </si>
  <si>
    <t xml:space="preserve">[GS: =SPARKLINE(D28:AH28)]</t>
  </si>
  <si>
    <t xml:space="preserve">Outdoor Time</t>
  </si>
  <si>
    <t xml:space="preserve">[GS: =SPARKLINE(D29:AH29)]</t>
  </si>
  <si>
    <t xml:space="preserve">Digital Detox</t>
  </si>
  <si>
    <t xml:space="preserve">[GS: =SPARKLINE(D30:AH30)]</t>
  </si>
  <si>
    <t xml:space="preserve">No.</t>
  </si>
  <si>
    <t xml:space="preserve">Habit Name</t>
  </si>
  <si>
    <t xml:space="preserve">Day</t>
  </si>
  <si>
    <t xml:space="preserve">Daily Completion %</t>
  </si>
  <si>
    <t xml:space="preserve">7-Day Rolling Avg</t>
  </si>
  <si>
    <t xml:space="preserve">Completion %</t>
  </si>
  <si>
    <t xml:space="preserve">Longest Streak</t>
  </si>
  <si>
    <t xml:space="preserve">Current Streak</t>
  </si>
  <si>
    <t xml:space="preserve">Avg Completion %</t>
  </si>
  <si>
    <t xml:space="preserve">Label</t>
  </si>
  <si>
    <t xml:space="preserve">Value</t>
  </si>
  <si>
    <t xml:space="preserve">Completed</t>
  </si>
  <si>
    <t xml:space="preserve">Remaining</t>
  </si>
  <si>
    <t xml:space="preserve">APPS SCRIPT CODE — Paste into Extensions &gt; Apps Script</t>
  </si>
  <si>
    <t xml:space="preserve">// =====================================================</t>
  </si>
  <si>
    <t xml:space="preserve">// Serenatas Habit Tracker — Apps Script Automation</t>
  </si>
  <si>
    <t xml:space="preserve">function onEdit(e) {</t>
  </si>
  <si>
    <t xml:space="preserve">  var sheet = e.source.getActiveSheet();</t>
  </si>
  <si>
    <t xml:space="preserve">  if (sheet.getName() === "Tracker" &amp;&amp; e.range.getA1Notation() === "D1") {</t>
  </si>
  <si>
    <t xml:space="preserve">    updateDateHeaders();</t>
  </si>
  <si>
    <t xml:space="preserve">  }</t>
  </si>
  <si>
    <t xml:space="preserve">}</t>
  </si>
  <si>
    <t xml:space="preserve">function updateDateHeaders() {</t>
  </si>
  <si>
    <t xml:space="preserve">  var ss = SpreadsheetApp.getActiveSpreadsheet();</t>
  </si>
  <si>
    <t xml:space="preserve">  var tracker = ss.getSheetByName("Tracker");</t>
  </si>
  <si>
    <t xml:space="preserve">  var monthCell = tracker.getRange("D1").getValue();</t>
  </si>
  <si>
    <t xml:space="preserve">  var d = new Date(monthCell);</t>
  </si>
  <si>
    <t xml:space="preserve">  var year = d.getFullYear();</t>
  </si>
  <si>
    <t xml:space="preserve">  var month = d.getMonth(); // 0-indexed</t>
  </si>
  <si>
    <t xml:space="preserve">  var daysInMonth = new Date(year, month + 1, 0).getDate();</t>
  </si>
  <si>
    <t xml:space="preserve">  // Update day number headers (row 2, cols D onward = col 4 onward)</t>
  </si>
  <si>
    <t xml:space="preserve">  for (var d2 = 1; d2 &lt;= 31; d2++) {</t>
  </si>
  <si>
    <t xml:space="preserve">    var col = d2 + 3;</t>
  </si>
  <si>
    <t xml:space="preserve">    var headerCell = tracker.getRange(2, col);</t>
  </si>
  <si>
    <t xml:space="preserve">    if (d2 &lt;= daysInMonth) {</t>
  </si>
  <si>
    <t xml:space="preserve">      headerCell.setValue(d2);</t>
  </si>
  <si>
    <t xml:space="preserve">      tracker.showColumns(col);</t>
  </si>
  <si>
    <t xml:space="preserve">    } else {</t>
  </si>
  <si>
    <t xml:space="preserve">      headerCell.setValue("");</t>
  </si>
  <si>
    <t xml:space="preserve">      tracker.hideColumns(col);</t>
  </si>
  <si>
    <t xml:space="preserve">    }</t>
  </si>
  <si>
    <t xml:space="preserve">  SpreadsheetApp.getUi().alert("Dates updated for " + Utilities.formatDate(new Date(year, month, 1), Session.getScriptTimeZone(), "MMMM yyyy"));</t>
  </si>
  <si>
    <t xml:space="preserve">// Run this once to set up named ranges</t>
  </si>
  <si>
    <t xml:space="preserve">function setupNamedRanges() {</t>
  </si>
  <si>
    <t xml:space="preserve">  ss.setNamedRange("Tracker_Dates",  tracker.getRange("D2:AH2"));</t>
  </si>
  <si>
    <t xml:space="preserve">  ss.setNamedRange("Tracker_Habits", tracker.getRange("B3:B32"));</t>
  </si>
  <si>
    <t xml:space="preserve">  ss.setNamedRange("Tracker_Data",   tracker.getRange("D3:AH32"));</t>
  </si>
  <si>
    <t xml:space="preserve">HOW TO COPY &amp; USE — Serenatas Habit Tracker + Dashboard</t>
  </si>
  <si>
    <t xml:space="preserve">STEP 1 — Open in Google Sheets</t>
  </si>
  <si>
    <t xml:space="preserve">Upload this .xlsx file to Google Drive. Right-click → Open With → Google Sheets.</t>
  </si>
  <si>
    <t xml:space="preserve">Google Sheets will preserve all formulas, conditional formatting, and charts.</t>
  </si>
  <si>
    <t xml:space="preserve">STEP 2 — Add Apps Script (for full automation)</t>
  </si>
  <si>
    <t xml:space="preserve">1. In Google Sheets: Extensions → Apps Script</t>
  </si>
  <si>
    <t xml:space="preserve">2. Delete placeholder code. Paste the full script from the 'AppScript' tab.</t>
  </si>
  <si>
    <t xml:space="preserve">3. Save (Ctrl+S). Close the editor.</t>
  </si>
  <si>
    <t xml:space="preserve">4. Run setupNamedRanges() once from the editor (Run menu).</t>
  </si>
  <si>
    <t xml:space="preserve">STEP 3 — Set Your Month</t>
  </si>
  <si>
    <t xml:space="preserve">Go to the Tracker sheet. Click cell D1. Type or pick a date (e.g., 2025-03-01).</t>
  </si>
  <si>
    <t xml:space="preserve">The Apps Script will auto-update day headers and hide unused day columns.</t>
  </si>
  <si>
    <t xml:space="preserve">STEP 4 — Customize Habits</t>
  </si>
  <si>
    <t xml:space="preserve">Go to the Habits sheet. Edit habit names and categories in columns B and C.</t>
  </si>
  <si>
    <t xml:space="preserve">The Tracker sheet links to Habits via formulas — changes flow through automatically.</t>
  </si>
  <si>
    <t xml:space="preserve">STEP 5 — Daily Tracking</t>
  </si>
  <si>
    <t xml:space="preserve">Go to the Tracker sheet. Click each checkbox (✓) for habits completed each day.</t>
  </si>
  <si>
    <t xml:space="preserve">Progress %, Longest Streak, Current Streak, and sparklines update automatically.</t>
  </si>
  <si>
    <t xml:space="preserve">The Dashboard and all charts refresh in real time.</t>
  </si>
  <si>
    <t xml:space="preserve">STEP 6 — View Dashboard</t>
  </si>
  <si>
    <t xml:space="preserve">Click the Dashboard tab. All KPIs, charts, heatmap, and leaderboards are live.</t>
  </si>
  <si>
    <t xml:space="preserve">Charts auto-scale. On mobile: use landscape mode for best chart visibility.</t>
  </si>
  <si>
    <t xml:space="preserve">COLOR PALETTE</t>
  </si>
  <si>
    <t xml:space="preserve">Success Green:  #1A7A4A / #34A85A / #DFF6E0</t>
  </si>
  <si>
    <t xml:space="preserve">Warning Amber:  #F5A623 / #FFF3DC</t>
  </si>
  <si>
    <t xml:space="preserve">Alert Red:      #C0392B / #FFE0E0</t>
  </si>
  <si>
    <t xml:space="preserve">Background:     #F4F6F8 (light gray)</t>
  </si>
  <si>
    <t xml:space="preserve">Accent Blue:    #2980B9</t>
  </si>
  <si>
    <t xml:space="preserve">CHART REFERENCE</t>
  </si>
  <si>
    <t xml:space="preserve">A. Daily Trend Line  →  Helper!A2:C32   (Day, Completion%, 7-Day Avg)</t>
  </si>
  <si>
    <t xml:space="preserve">B. Habit Completion  →  Helper!E2:F16  (Top 15 by %)</t>
  </si>
  <si>
    <t xml:space="preserve">C. Streak Leaders    →  Helper!I2:K11  (Top 10, Longest vs Current)</t>
  </si>
  <si>
    <t xml:space="preserve">D. Donut Progress    →  Helper!P2:Q3   (Avg% vs Remaining)</t>
  </si>
  <si>
    <t xml:space="preserve">E. Radar / Category  →  Helper!M2:N5   (Categories avg)</t>
  </si>
  <si>
    <t xml:space="preserve">F. Heatmap Grid      →  Dashboard B62:H66 (cf. Helper!B col)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</si>
</sst>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%"/>
    <numFmt numFmtId="167" formatCode="@"/>
    <numFmt numFmtId="168" formatCode="mmmm\ yyyy"/>
    <numFmt numFmtId="169" formatCode="General"/>
    <numFmt numFmtId="170" formatCode="0.00%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3"/>
      <color rgb="FFFFFFFF"/>
      <name val="Arial"/>
      <family val="0"/>
      <charset val="1"/>
    </font>
    <font>
      <b val="true"/>
      <sz val="8"/>
      <color rgb="FF9E9E9E"/>
      <name val="Arial"/>
      <family val="0"/>
      <charset val="1"/>
    </font>
    <font>
      <b val="true"/>
      <sz val="22"/>
      <color rgb="FF1A7A4A"/>
      <name val="Arial"/>
      <family val="0"/>
      <charset val="1"/>
    </font>
    <font>
      <b val="true"/>
      <sz val="22"/>
      <color rgb="FF2980B9"/>
      <name val="Arial"/>
      <family val="0"/>
      <charset val="1"/>
    </font>
    <font>
      <b val="true"/>
      <sz val="22"/>
      <color rgb="FF34A85A"/>
      <name val="Arial"/>
      <family val="0"/>
      <charset val="1"/>
    </font>
    <font>
      <b val="true"/>
      <sz val="11"/>
      <color rgb="FFF5A62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9E9E9E"/>
      <name val="Arial"/>
      <family val="0"/>
      <charset val="1"/>
    </font>
    <font>
      <sz val="10"/>
      <color rgb="FF4A4A4A"/>
      <name val="Arial"/>
      <family val="0"/>
      <charset val="1"/>
    </font>
    <font>
      <b val="true"/>
      <sz val="10"/>
      <color rgb="FF1A7A4A"/>
      <name val="Arial"/>
      <family val="0"/>
      <charset val="1"/>
    </font>
    <font>
      <b val="true"/>
      <sz val="10"/>
      <color rgb="FF2980B9"/>
      <name val="Arial"/>
      <family val="0"/>
      <charset val="1"/>
    </font>
    <font>
      <b val="true"/>
      <sz val="9"/>
      <color rgb="FF4A4A4A"/>
      <name val="Arial"/>
      <family val="0"/>
      <charset val="1"/>
    </font>
    <font>
      <sz val="9"/>
      <color rgb="FF4A4A4A"/>
      <name val="Arial"/>
      <family val="0"/>
      <charset val="1"/>
    </font>
    <font>
      <b val="true"/>
      <sz val="10"/>
      <color rgb="FF4A4A4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1A7A4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9E9E9E"/>
      <name val="Arial"/>
      <family val="0"/>
      <charset val="1"/>
    </font>
    <font>
      <b val="true"/>
      <sz val="10"/>
      <color rgb="FFFFFFFF"/>
      <name val="Courier New"/>
      <family val="0"/>
      <charset val="1"/>
    </font>
    <font>
      <sz val="10"/>
      <color rgb="FF4A4A4A"/>
      <name val="Courier New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2"/>
      <color rgb="FF1A7A4A"/>
      <name val="Arial"/>
      <family val="0"/>
      <charset val="1"/>
    </font>
    <font>
      <b val="true"/>
      <sz val="12"/>
      <color rgb="FF4A4A4A"/>
      <name val="Arial"/>
      <family val="0"/>
      <charset val="1"/>
    </font>
    <font>
      <sz val="10"/>
      <color rgb="FF1A7A4A"/>
      <name val="Arial"/>
      <family val="0"/>
      <charset val="1"/>
    </font>
    <font>
      <sz val="10"/>
      <color rgb="FFF5A623"/>
      <name val="Arial"/>
      <family val="0"/>
      <charset val="1"/>
    </font>
    <font>
      <sz val="10"/>
      <color rgb="FFC0392B"/>
      <name val="Arial"/>
      <family val="0"/>
      <charset val="1"/>
    </font>
    <font>
      <sz val="10"/>
      <color rgb="FF2980B9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A7A4A"/>
        <bgColor rgb="FF008000"/>
      </patternFill>
    </fill>
    <fill>
      <patternFill patternType="solid">
        <fgColor rgb="FF34A85A"/>
        <bgColor rgb="FF1A7A4A"/>
      </patternFill>
    </fill>
    <fill>
      <patternFill patternType="solid">
        <fgColor rgb="FFE8F8EF"/>
        <bgColor rgb="FFEAF4FB"/>
      </patternFill>
    </fill>
    <fill>
      <patternFill patternType="solid">
        <fgColor rgb="FFEAF4FB"/>
        <bgColor rgb="FFE8F8EF"/>
      </patternFill>
    </fill>
    <fill>
      <patternFill patternType="solid">
        <fgColor rgb="FFFFF3DC"/>
        <bgColor rgb="FFF9F9F9"/>
      </patternFill>
    </fill>
    <fill>
      <patternFill patternType="solid">
        <fgColor rgb="FFF4F6F8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FFE0E0"/>
        <bgColor rgb="FFFFF3DC"/>
      </patternFill>
    </fill>
    <fill>
      <patternFill patternType="solid">
        <fgColor rgb="FFDFF6E0"/>
        <bgColor rgb="FFE8F8EF"/>
      </patternFill>
    </fill>
    <fill>
      <patternFill patternType="solid">
        <fgColor rgb="FF2980B9"/>
        <bgColor rgb="FF4F81BD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1A7A4A"/>
      </left>
      <right/>
      <top style="thin">
        <color rgb="FF1A7A4A"/>
      </top>
      <bottom style="thin">
        <color rgb="FF1A7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2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0" fillId="8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7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7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7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9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0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1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2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3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4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DFF6E0"/>
        </patternFill>
      </fill>
    </dxf>
    <dxf>
      <fill>
        <patternFill>
          <bgColor rgb="FFFFE0E0"/>
        </patternFill>
      </fill>
    </dxf>
    <dxf>
      <fill>
        <patternFill>
          <bgColor rgb="FFFFF3DC"/>
        </patternFill>
      </fill>
    </dxf>
    <dxf>
      <fill>
        <patternFill>
          <bgColor rgb="FFE8F8E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A4A"/>
      <rgbColor rgb="FFD9D9D9"/>
      <rgbColor rgb="FF878787"/>
      <rgbColor rgb="FF9999FF"/>
      <rgbColor rgb="FFC0504D"/>
      <rgbColor rgb="FFFFF3DC"/>
      <rgbColor rgb="FFE8F8E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EAF4FB"/>
      <rgbColor rgb="FFDFF6E0"/>
      <rgbColor rgb="FFF9F9F9"/>
      <rgbColor rgb="FFE0E0E0"/>
      <rgbColor rgb="FFF4F6F8"/>
      <rgbColor rgb="FFCC99FF"/>
      <rgbColor rgb="FFFFE0E0"/>
      <rgbColor rgb="FF3366FF"/>
      <rgbColor rgb="FF33CCCC"/>
      <rgbColor rgb="FF99CC00"/>
      <rgbColor rgb="FFFFCC00"/>
      <rgbColor rgb="FFF5A623"/>
      <rgbColor rgb="FFFF6600"/>
      <rgbColor rgb="FF4F81BD"/>
      <rgbColor rgb="FF9E9E9E"/>
      <rgbColor rgb="FF003366"/>
      <rgbColor rgb="FF34A85A"/>
      <rgbColor rgb="FF003300"/>
      <rgbColor rgb="FF333300"/>
      <rgbColor rgb="FFC0392B"/>
      <rgbColor rgb="FF993366"/>
      <rgbColor rgb="FF333399"/>
      <rgbColor rgb="FF4A4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Completion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Helper!B1</c:f>
              <c:strCache>
                <c:ptCount val="1"/>
                <c:pt idx="0">
                  <c:v>Daily Completion %</c:v>
                </c:pt>
              </c:strCache>
            </c:strRef>
          </c:tx>
          <c:spPr>
            <a:solidFill>
              <a:srgbClr val="34a85a"/>
            </a:solidFill>
            <a:ln w="20160">
              <a:solidFill>
                <a:srgbClr val="34a85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Helper!$A$2:$A$32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Helper!$B$2:$B$32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Helper!C1</c:f>
              <c:strCache>
                <c:ptCount val="1"/>
                <c:pt idx="0">
                  <c:v>7-Day Rolling Avg</c:v>
                </c:pt>
              </c:strCache>
            </c:strRef>
          </c:tx>
          <c:spPr>
            <a:solidFill>
              <a:srgbClr val="f5a623"/>
            </a:solidFill>
            <a:ln w="15120">
              <a:solidFill>
                <a:srgbClr val="f5a62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Helper!$A$2:$A$32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Helper!$C$2:$C$32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231462"/>
        <c:axId val="6397154"/>
      </c:lineChart>
      <c:catAx>
        <c:axId val="82314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97154"/>
        <c:crosses val="autoZero"/>
        <c:auto val="1"/>
        <c:lblAlgn val="ctr"/>
        <c:lblOffset val="100"/>
        <c:noMultiLvlLbl val="0"/>
      </c:catAx>
      <c:valAx>
        <c:axId val="6397154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Completion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314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Habit Completion % (Top 15)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Helper!F1</c:f>
              <c:strCache>
                <c:ptCount val="1"/>
                <c:pt idx="0">
                  <c:v>Completion %</c:v>
                </c:pt>
              </c:strCache>
            </c:strRef>
          </c:tx>
          <c:spPr>
            <a:solidFill>
              <a:srgbClr val="34a85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Helper!$E$2:$E$16</c:f>
              <c:strCache>
                <c:ptCount val="15"/>
                <c:pt idx="0">
                  <c:v>Morning Exercise</c:v>
                </c:pt>
                <c:pt idx="1">
                  <c:v>Hydration 2L</c:v>
                </c:pt>
                <c:pt idx="2">
                  <c:v>Sleep by 10 pm</c:v>
                </c:pt>
                <c:pt idx="3">
                  <c:v>No Junk Food</c:v>
                </c:pt>
                <c:pt idx="4">
                  <c:v>Walk 10k Steps</c:v>
                </c:pt>
                <c:pt idx="5">
                  <c:v>Cook at Home</c:v>
                </c:pt>
                <c:pt idx="6">
                  <c:v>Read 30 min</c:v>
                </c:pt>
                <c:pt idx="7">
                  <c:v>Journal</c:v>
                </c:pt>
                <c:pt idx="8">
                  <c:v>Learn a Language</c:v>
                </c:pt>
                <c:pt idx="9">
                  <c:v>Gratitude List</c:v>
                </c:pt>
                <c:pt idx="10">
                  <c:v>Practice a Skill</c:v>
                </c:pt>
                <c:pt idx="11">
                  <c:v>Creative Work</c:v>
                </c:pt>
                <c:pt idx="12">
                  <c:v>Learning Module</c:v>
                </c:pt>
                <c:pt idx="13">
                  <c:v>Deep Work Block</c:v>
                </c:pt>
                <c:pt idx="14">
                  <c:v>Review Goals</c:v>
                </c:pt>
              </c:strCache>
            </c:strRef>
          </c:cat>
          <c:val>
            <c:numRef>
              <c:f>Helper!$F$2:$F$16</c:f>
              <c:numCache>
                <c:formatCode>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gapWidth val="150"/>
        <c:overlap val="0"/>
        <c:axId val="42561115"/>
        <c:axId val="2112826"/>
      </c:barChart>
      <c:catAx>
        <c:axId val="4256111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Completion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12826"/>
        <c:crosses val="autoZero"/>
        <c:auto val="1"/>
        <c:lblAlgn val="ctr"/>
        <c:lblOffset val="100"/>
        <c:noMultiLvlLbl val="0"/>
      </c:catAx>
      <c:valAx>
        <c:axId val="21128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@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5611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Streak Leaderboard (Top 10)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Helper!J1</c:f>
              <c:strCache>
                <c:ptCount val="1"/>
                <c:pt idx="0">
                  <c:v>Longest Streak</c:v>
                </c:pt>
              </c:strCache>
            </c:strRef>
          </c:tx>
          <c:spPr>
            <a:solidFill>
              <a:srgbClr val="1a7a4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Helper!$I$2:$I$11</c:f>
              <c:strCache>
                <c:ptCount val="10"/>
                <c:pt idx="0">
                  <c:v>Morning Exercise</c:v>
                </c:pt>
                <c:pt idx="1">
                  <c:v>Hydration 2L</c:v>
                </c:pt>
                <c:pt idx="2">
                  <c:v>Sleep by 10 pm</c:v>
                </c:pt>
                <c:pt idx="3">
                  <c:v>No Junk Food</c:v>
                </c:pt>
                <c:pt idx="4">
                  <c:v>Walk 10k Steps</c:v>
                </c:pt>
                <c:pt idx="5">
                  <c:v>Cook at Home</c:v>
                </c:pt>
                <c:pt idx="6">
                  <c:v>Read 30 min</c:v>
                </c:pt>
                <c:pt idx="7">
                  <c:v>Journal</c:v>
                </c:pt>
                <c:pt idx="8">
                  <c:v>Learn a Language</c:v>
                </c:pt>
                <c:pt idx="9">
                  <c:v>Gratitude List</c:v>
                </c:pt>
              </c:strCache>
            </c:strRef>
          </c:cat>
          <c:val>
            <c:numRef>
              <c:f>Helper!$J$2:$J$11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Helper!K1</c:f>
              <c:strCache>
                <c:ptCount val="1"/>
                <c:pt idx="0">
                  <c:v>Current Streak</c:v>
                </c:pt>
              </c:strCache>
            </c:strRef>
          </c:tx>
          <c:spPr>
            <a:solidFill>
              <a:srgbClr val="f5a62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Helper!$I$2:$I$11</c:f>
              <c:strCache>
                <c:ptCount val="10"/>
                <c:pt idx="0">
                  <c:v>Morning Exercise</c:v>
                </c:pt>
                <c:pt idx="1">
                  <c:v>Hydration 2L</c:v>
                </c:pt>
                <c:pt idx="2">
                  <c:v>Sleep by 10 pm</c:v>
                </c:pt>
                <c:pt idx="3">
                  <c:v>No Junk Food</c:v>
                </c:pt>
                <c:pt idx="4">
                  <c:v>Walk 10k Steps</c:v>
                </c:pt>
                <c:pt idx="5">
                  <c:v>Cook at Home</c:v>
                </c:pt>
                <c:pt idx="6">
                  <c:v>Read 30 min</c:v>
                </c:pt>
                <c:pt idx="7">
                  <c:v>Journal</c:v>
                </c:pt>
                <c:pt idx="8">
                  <c:v>Learn a Language</c:v>
                </c:pt>
                <c:pt idx="9">
                  <c:v>Gratitude List</c:v>
                </c:pt>
              </c:strCache>
            </c:strRef>
          </c:cat>
          <c:val>
            <c:numRef>
              <c:f>Helper!$K$2:$K$11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50"/>
        <c:overlap val="0"/>
        <c:axId val="6528209"/>
        <c:axId val="88343367"/>
      </c:barChart>
      <c:catAx>
        <c:axId val="65282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343367"/>
        <c:crosses val="autoZero"/>
        <c:auto val="1"/>
        <c:lblAlgn val="ctr"/>
        <c:lblOffset val="100"/>
        <c:noMultiLvlLbl val="0"/>
      </c:catAx>
      <c:valAx>
        <c:axId val="883433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282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Progress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Helper!Q1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34a85a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Helper!$P$2:$P$3</c:f>
              <c:strCache>
                <c:ptCount val="2"/>
                <c:pt idx="0">
                  <c:v>Completed</c:v>
                </c:pt>
                <c:pt idx="1">
                  <c:v>Remaining</c:v>
                </c:pt>
              </c:strCache>
            </c:strRef>
          </c:cat>
          <c:val>
            <c:numRef>
              <c:f>Helper!$Q$2:$Q$3</c:f>
              <c:numCache>
                <c:formatCode>0.00%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Category Avg Completion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filled"/>
        <c:varyColors val="0"/>
        <c:ser>
          <c:idx val="0"/>
          <c:order val="0"/>
          <c:tx>
            <c:strRef>
              <c:f>Helper!N1</c:f>
              <c:strCache>
                <c:ptCount val="1"/>
                <c:pt idx="0">
                  <c:v>Avg Completion %</c:v>
                </c:pt>
              </c:strCache>
            </c:strRef>
          </c:tx>
          <c:spPr>
            <a:solidFill>
              <a:srgbClr val="dff6e0"/>
            </a:solidFill>
            <a:ln w="9360">
              <a:solidFill>
                <a:srgbClr val="1a7a4a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Helper!$M$2:$M$6</c:f>
              <c:strCache>
                <c:ptCount val="5"/>
                <c:pt idx="0">
                  <c:v>Career</c:v>
                </c:pt>
                <c:pt idx="1">
                  <c:v>Finance</c:v>
                </c:pt>
                <c:pt idx="2">
                  <c:v>Health</c:v>
                </c:pt>
                <c:pt idx="3">
                  <c:v>Learning</c:v>
                </c:pt>
                <c:pt idx="4">
                  <c:v>Mindset</c:v>
                </c:pt>
              </c:strCache>
            </c:strRef>
          </c:cat>
          <c:val>
            <c:numRef>
              <c:f>Helper!$N$2:$N$6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39772525"/>
        <c:axId val="10479547"/>
      </c:radarChart>
      <c:catAx>
        <c:axId val="3977252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479547"/>
        <c:crosses val="autoZero"/>
        <c:auto val="1"/>
        <c:lblAlgn val="ctr"/>
        <c:lblOffset val="100"/>
        <c:noMultiLvlLbl val="0"/>
      </c:catAx>
      <c:valAx>
        <c:axId val="104795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77252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0</xdr:rowOff>
    </xdr:from>
    <xdr:to>
      <xdr:col>5</xdr:col>
      <xdr:colOff>684720</xdr:colOff>
      <xdr:row>25</xdr:row>
      <xdr:rowOff>39240</xdr:rowOff>
    </xdr:to>
    <xdr:graphicFrame>
      <xdr:nvGraphicFramePr>
        <xdr:cNvPr id="0" name="Chart 1"/>
        <xdr:cNvGraphicFramePr/>
      </xdr:nvGraphicFramePr>
      <xdr:xfrm>
        <a:off x="141120" y="27813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29</xdr:row>
      <xdr:rowOff>0</xdr:rowOff>
    </xdr:from>
    <xdr:to>
      <xdr:col>5</xdr:col>
      <xdr:colOff>684720</xdr:colOff>
      <xdr:row>47</xdr:row>
      <xdr:rowOff>204840</xdr:rowOff>
    </xdr:to>
    <xdr:graphicFrame>
      <xdr:nvGraphicFramePr>
        <xdr:cNvPr id="1" name="Chart 2"/>
        <xdr:cNvGraphicFramePr/>
      </xdr:nvGraphicFramePr>
      <xdr:xfrm>
        <a:off x="141120" y="689616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47</xdr:row>
      <xdr:rowOff>0</xdr:rowOff>
    </xdr:from>
    <xdr:to>
      <xdr:col>5</xdr:col>
      <xdr:colOff>684720</xdr:colOff>
      <xdr:row>61</xdr:row>
      <xdr:rowOff>68040</xdr:rowOff>
    </xdr:to>
    <xdr:graphicFrame>
      <xdr:nvGraphicFramePr>
        <xdr:cNvPr id="2" name="Chart 3"/>
        <xdr:cNvGraphicFramePr/>
      </xdr:nvGraphicFramePr>
      <xdr:xfrm>
        <a:off x="141120" y="110109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11</xdr:row>
      <xdr:rowOff>0</xdr:rowOff>
    </xdr:from>
    <xdr:to>
      <xdr:col>9</xdr:col>
      <xdr:colOff>1062000</xdr:colOff>
      <xdr:row>25</xdr:row>
      <xdr:rowOff>39240</xdr:rowOff>
    </xdr:to>
    <xdr:graphicFrame>
      <xdr:nvGraphicFramePr>
        <xdr:cNvPr id="3" name="Chart 4"/>
        <xdr:cNvGraphicFramePr/>
      </xdr:nvGraphicFramePr>
      <xdr:xfrm>
        <a:off x="7753320" y="2781360"/>
        <a:ext cx="35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29</xdr:row>
      <xdr:rowOff>0</xdr:rowOff>
    </xdr:from>
    <xdr:to>
      <xdr:col>9</xdr:col>
      <xdr:colOff>1062000</xdr:colOff>
      <xdr:row>43</xdr:row>
      <xdr:rowOff>39240</xdr:rowOff>
    </xdr:to>
    <xdr:graphicFrame>
      <xdr:nvGraphicFramePr>
        <xdr:cNvPr id="4" name="Chart 5"/>
        <xdr:cNvGraphicFramePr/>
      </xdr:nvGraphicFramePr>
      <xdr:xfrm>
        <a:off x="7753320" y="6896160"/>
        <a:ext cx="35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A623"/>
    <pageSetUpPr fitToPage="false"/>
  </sheetPr>
  <dimension ref="A1:K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0" min="2" style="0" width="18"/>
    <col collapsed="false" customWidth="true" hidden="false" outlineLevel="0" max="11" min="11" style="0" width="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4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9.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19.5" hidden="false" customHeight="true" outlineLevel="0" collapsed="false">
      <c r="A4" s="2" t="str">
        <f aca="false">TEXT(Tracker!D1,"MMMM YYYY")</f>
        <v>January 2025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customFormat="false" ht="19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customFormat="false" ht="9.75" hidden="false" customHeight="true" outlineLevel="0" collapsed="false"/>
    <row r="7" customFormat="false" ht="15.75" hidden="false" customHeight="true" outlineLevel="0" collapsed="false">
      <c r="B7" s="3" t="s">
        <v>1</v>
      </c>
      <c r="C7" s="3"/>
      <c r="D7" s="4" t="s">
        <v>2</v>
      </c>
      <c r="E7" s="4"/>
      <c r="F7" s="3" t="s">
        <v>3</v>
      </c>
      <c r="G7" s="3"/>
      <c r="H7" s="5" t="s">
        <v>4</v>
      </c>
      <c r="I7" s="5"/>
    </row>
    <row r="8" customFormat="false" ht="25.5" hidden="false" customHeight="true" outlineLevel="0" collapsed="false">
      <c r="B8" s="6" t="n">
        <f aca="false">28</f>
        <v>28</v>
      </c>
      <c r="C8" s="6"/>
      <c r="D8" s="7" t="n">
        <f aca="false">IFERROR(AVERAGE(Tracker!AI3:AI30),0)</f>
        <v>0</v>
      </c>
      <c r="E8" s="7"/>
      <c r="F8" s="8" t="n">
        <f aca="false">COUNTIF(Tracker!AI3:AI30,"&gt;0.8")</f>
        <v>0</v>
      </c>
      <c r="G8" s="8"/>
      <c r="H8" s="9" t="str">
        <f aca="false">IFERROR(INDEX(Tracker!B3:B30,MATCH(MAX(Tracker!AJ3:AJ30),Tracker!AJ3:AJ30,0)),"—")</f>
        <v>Morning Exercise</v>
      </c>
      <c r="I8" s="9"/>
    </row>
    <row r="9" customFormat="false" ht="25.5" hidden="false" customHeight="true" outlineLevel="0" collapsed="false">
      <c r="B9" s="6"/>
      <c r="C9" s="6"/>
      <c r="D9" s="7"/>
      <c r="E9" s="7"/>
      <c r="F9" s="8"/>
      <c r="G9" s="8"/>
      <c r="H9" s="9"/>
      <c r="I9" s="9"/>
    </row>
    <row r="10" customFormat="false" ht="18" hidden="false" customHeight="true" outlineLevel="0" collapsed="false"/>
    <row r="11" customFormat="false" ht="18" hidden="false" customHeight="true" outlineLevel="0" collapsed="false">
      <c r="B11" s="10" t="s">
        <v>5</v>
      </c>
      <c r="C11" s="10"/>
      <c r="D11" s="10"/>
      <c r="E11" s="10"/>
      <c r="F11" s="10"/>
      <c r="G11" s="10"/>
      <c r="H11" s="10" t="s">
        <v>6</v>
      </c>
      <c r="I11" s="10"/>
      <c r="J11" s="10"/>
    </row>
    <row r="12" customFormat="false" ht="18" hidden="false" customHeight="true" outlineLevel="0" collapsed="false">
      <c r="H12" s="11" t="n">
        <v>1</v>
      </c>
      <c r="I12" s="12" t="str">
        <f aca="false">IFERROR(INDEX(Helper!E2:E29,MATCH(LARGE(Helper!F2:F29,1),Helper!F2:F29,0)),"—")</f>
        <v>Morning Exercise</v>
      </c>
      <c r="J12" s="13" t="n">
        <f aca="false">IFERROR(LARGE(Helper!F2:F29,1),0)</f>
        <v>0</v>
      </c>
    </row>
    <row r="13" customFormat="false" ht="18" hidden="false" customHeight="true" outlineLevel="0" collapsed="false">
      <c r="H13" s="14" t="n">
        <v>2</v>
      </c>
      <c r="I13" s="15" t="str">
        <f aca="false">IFERROR(INDEX(Helper!E2:E29,MATCH(LARGE(Helper!F2:F29,2),Helper!F2:F29,0)),"—")</f>
        <v>Morning Exercise</v>
      </c>
      <c r="J13" s="16" t="n">
        <f aca="false">IFERROR(LARGE(Helper!F2:F29,2),0)</f>
        <v>0</v>
      </c>
    </row>
    <row r="14" customFormat="false" ht="18" hidden="false" customHeight="true" outlineLevel="0" collapsed="false">
      <c r="H14" s="11" t="n">
        <v>3</v>
      </c>
      <c r="I14" s="12" t="str">
        <f aca="false">IFERROR(INDEX(Helper!E2:E29,MATCH(LARGE(Helper!F2:F29,3),Helper!F2:F29,0)),"—")</f>
        <v>Morning Exercise</v>
      </c>
      <c r="J14" s="13" t="n">
        <f aca="false">IFERROR(LARGE(Helper!F2:F29,3),0)</f>
        <v>0</v>
      </c>
    </row>
    <row r="15" customFormat="false" ht="18" hidden="false" customHeight="true" outlineLevel="0" collapsed="false">
      <c r="H15" s="14" t="n">
        <v>4</v>
      </c>
      <c r="I15" s="15" t="str">
        <f aca="false">IFERROR(INDEX(Helper!E2:E29,MATCH(LARGE(Helper!F2:F29,4),Helper!F2:F29,0)),"—")</f>
        <v>Morning Exercise</v>
      </c>
      <c r="J15" s="16" t="n">
        <f aca="false">IFERROR(LARGE(Helper!F2:F29,4),0)</f>
        <v>0</v>
      </c>
    </row>
    <row r="16" customFormat="false" ht="18" hidden="false" customHeight="true" outlineLevel="0" collapsed="false">
      <c r="H16" s="11" t="n">
        <v>5</v>
      </c>
      <c r="I16" s="12" t="str">
        <f aca="false">IFERROR(INDEX(Helper!E2:E29,MATCH(LARGE(Helper!F2:F29,5),Helper!F2:F29,0)),"—")</f>
        <v>Morning Exercise</v>
      </c>
      <c r="J16" s="13" t="n">
        <f aca="false">IFERROR(LARGE(Helper!F2:F29,5),0)</f>
        <v>0</v>
      </c>
    </row>
    <row r="17" customFormat="false" ht="18" hidden="false" customHeight="true" outlineLevel="0" collapsed="false">
      <c r="H17" s="14" t="n">
        <v>6</v>
      </c>
      <c r="I17" s="15" t="str">
        <f aca="false">IFERROR(INDEX(Helper!E2:E29,MATCH(LARGE(Helper!F2:F29,6),Helper!F2:F29,0)),"—")</f>
        <v>Morning Exercise</v>
      </c>
      <c r="J17" s="16" t="n">
        <f aca="false">IFERROR(LARGE(Helper!F2:F29,6),0)</f>
        <v>0</v>
      </c>
    </row>
    <row r="18" customFormat="false" ht="18" hidden="false" customHeight="true" outlineLevel="0" collapsed="false">
      <c r="H18" s="11" t="n">
        <v>7</v>
      </c>
      <c r="I18" s="12" t="str">
        <f aca="false">IFERROR(INDEX(Helper!E2:E29,MATCH(LARGE(Helper!F2:F29,7),Helper!F2:F29,0)),"—")</f>
        <v>Morning Exercise</v>
      </c>
      <c r="J18" s="13" t="n">
        <f aca="false">IFERROR(LARGE(Helper!F2:F29,7),0)</f>
        <v>0</v>
      </c>
    </row>
    <row r="19" customFormat="false" ht="18" hidden="false" customHeight="true" outlineLevel="0" collapsed="false">
      <c r="H19" s="14" t="n">
        <v>8</v>
      </c>
      <c r="I19" s="15" t="str">
        <f aca="false">IFERROR(INDEX(Helper!E2:E29,MATCH(LARGE(Helper!F2:F29,8),Helper!F2:F29,0)),"—")</f>
        <v>Morning Exercise</v>
      </c>
      <c r="J19" s="16" t="n">
        <f aca="false">IFERROR(LARGE(Helper!F2:F29,8),0)</f>
        <v>0</v>
      </c>
    </row>
    <row r="20" customFormat="false" ht="18" hidden="false" customHeight="true" outlineLevel="0" collapsed="false">
      <c r="H20" s="11" t="n">
        <v>9</v>
      </c>
      <c r="I20" s="12" t="str">
        <f aca="false">IFERROR(INDEX(Helper!E2:E29,MATCH(LARGE(Helper!F2:F29,9),Helper!F2:F29,0)),"—")</f>
        <v>Morning Exercise</v>
      </c>
      <c r="J20" s="13" t="n">
        <f aca="false">IFERROR(LARGE(Helper!F2:F29,9),0)</f>
        <v>0</v>
      </c>
    </row>
    <row r="21" customFormat="false" ht="18" hidden="false" customHeight="true" outlineLevel="0" collapsed="false">
      <c r="H21" s="14" t="n">
        <v>10</v>
      </c>
      <c r="I21" s="15" t="str">
        <f aca="false">IFERROR(INDEX(Helper!E2:E29,MATCH(LARGE(Helper!F2:F29,10),Helper!F2:F29,0)),"—")</f>
        <v>Morning Exercise</v>
      </c>
      <c r="J21" s="16" t="n">
        <f aca="false">IFERROR(LARGE(Helper!F2:F29,10),0)</f>
        <v>0</v>
      </c>
    </row>
    <row r="22" customFormat="false" ht="18" hidden="false" customHeight="true" outlineLevel="0" collapsed="false"/>
    <row r="23" customFormat="false" ht="18" hidden="false" customHeight="true" outlineLevel="0" collapsed="false">
      <c r="H23" s="10" t="s">
        <v>7</v>
      </c>
      <c r="I23" s="10"/>
      <c r="J23" s="10"/>
    </row>
    <row r="24" customFormat="false" ht="18" hidden="false" customHeight="true" outlineLevel="0" collapsed="false">
      <c r="H24" s="12" t="s">
        <v>8</v>
      </c>
      <c r="I24" s="17" t="n">
        <f aca="false">IFERROR(AVERAGEIF(Helper!G2:G29,Dashboard!H24,Helper!F2:F29),0)</f>
        <v>0</v>
      </c>
      <c r="J24" s="17"/>
    </row>
    <row r="25" customFormat="false" ht="18" hidden="false" customHeight="true" outlineLevel="0" collapsed="false">
      <c r="H25" s="15" t="s">
        <v>9</v>
      </c>
      <c r="I25" s="18" t="n">
        <f aca="false">IFERROR(AVERAGEIF(Helper!G2:G29,Dashboard!H25,Helper!F2:F29),0)</f>
        <v>0</v>
      </c>
      <c r="J25" s="18"/>
    </row>
    <row r="26" customFormat="false" ht="18" hidden="false" customHeight="true" outlineLevel="0" collapsed="false">
      <c r="H26" s="12" t="s">
        <v>10</v>
      </c>
      <c r="I26" s="17" t="n">
        <f aca="false">IFERROR(AVERAGEIF(Helper!G2:G29,Dashboard!H26,Helper!F2:F29),0)</f>
        <v>0</v>
      </c>
      <c r="J26" s="17"/>
    </row>
    <row r="27" customFormat="false" ht="18" hidden="false" customHeight="true" outlineLevel="0" collapsed="false">
      <c r="H27" s="15" t="s">
        <v>11</v>
      </c>
      <c r="I27" s="18" t="n">
        <f aca="false">IFERROR(AVERAGEIF(Helper!G2:G29,Dashboard!H27,Helper!F2:F29),0)</f>
        <v>0</v>
      </c>
      <c r="J27" s="18"/>
    </row>
    <row r="28" customFormat="false" ht="18" hidden="false" customHeight="true" outlineLevel="0" collapsed="false">
      <c r="H28" s="12" t="s">
        <v>12</v>
      </c>
      <c r="I28" s="17" t="n">
        <f aca="false">IFERROR(AVERAGEIF(Helper!G2:G29,Dashboard!H28,Helper!F2:F29),0)</f>
        <v>0</v>
      </c>
      <c r="J28" s="17"/>
    </row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  <row r="60" customFormat="false" ht="18" hidden="false" customHeight="true" outlineLevel="0" collapsed="false">
      <c r="B60" s="10" t="s">
        <v>13</v>
      </c>
      <c r="C60" s="10"/>
      <c r="D60" s="10"/>
      <c r="E60" s="10"/>
      <c r="F60" s="10"/>
      <c r="G60" s="10"/>
      <c r="H60" s="10"/>
      <c r="I60" s="10"/>
      <c r="J60" s="10"/>
    </row>
    <row r="61" customFormat="false" ht="15.75" hidden="false" customHeight="true" outlineLevel="0" collapsed="false">
      <c r="B61" s="19" t="s">
        <v>14</v>
      </c>
      <c r="C61" s="19" t="s">
        <v>15</v>
      </c>
      <c r="D61" s="19" t="s">
        <v>16</v>
      </c>
      <c r="E61" s="19" t="s">
        <v>17</v>
      </c>
      <c r="F61" s="19" t="s">
        <v>18</v>
      </c>
      <c r="G61" s="19" t="s">
        <v>19</v>
      </c>
      <c r="H61" s="19" t="s">
        <v>20</v>
      </c>
    </row>
    <row r="62" customFormat="false" ht="21.75" hidden="false" customHeight="true" outlineLevel="0" collapsed="false">
      <c r="B62" s="20" t="n">
        <f aca="false">Helper!B2</f>
        <v>0</v>
      </c>
      <c r="C62" s="20" t="n">
        <f aca="false">Helper!B3</f>
        <v>0</v>
      </c>
      <c r="D62" s="20" t="n">
        <f aca="false">Helper!B4</f>
        <v>0</v>
      </c>
      <c r="E62" s="20" t="n">
        <f aca="false">Helper!B5</f>
        <v>0</v>
      </c>
      <c r="F62" s="20" t="n">
        <f aca="false">Helper!B6</f>
        <v>0</v>
      </c>
      <c r="G62" s="20" t="n">
        <f aca="false">Helper!B7</f>
        <v>0</v>
      </c>
      <c r="H62" s="20" t="n">
        <f aca="false">Helper!B8</f>
        <v>0</v>
      </c>
    </row>
    <row r="63" customFormat="false" ht="21.75" hidden="false" customHeight="true" outlineLevel="0" collapsed="false">
      <c r="B63" s="20" t="n">
        <f aca="false">Helper!B9</f>
        <v>0</v>
      </c>
      <c r="C63" s="20" t="n">
        <f aca="false">Helper!B10</f>
        <v>0</v>
      </c>
      <c r="D63" s="20" t="n">
        <f aca="false">Helper!B11</f>
        <v>0</v>
      </c>
      <c r="E63" s="20" t="n">
        <f aca="false">Helper!B12</f>
        <v>0</v>
      </c>
      <c r="F63" s="20" t="n">
        <f aca="false">Helper!B13</f>
        <v>0</v>
      </c>
      <c r="G63" s="20" t="n">
        <f aca="false">Helper!B14</f>
        <v>0</v>
      </c>
      <c r="H63" s="20" t="n">
        <f aca="false">Helper!B15</f>
        <v>0</v>
      </c>
    </row>
    <row r="64" customFormat="false" ht="21.75" hidden="false" customHeight="true" outlineLevel="0" collapsed="false">
      <c r="B64" s="20" t="n">
        <f aca="false">Helper!B16</f>
        <v>0</v>
      </c>
      <c r="C64" s="20" t="n">
        <f aca="false">Helper!B17</f>
        <v>0</v>
      </c>
      <c r="D64" s="20" t="n">
        <f aca="false">Helper!B18</f>
        <v>0</v>
      </c>
      <c r="E64" s="20" t="n">
        <f aca="false">Helper!B19</f>
        <v>0</v>
      </c>
      <c r="F64" s="20" t="n">
        <f aca="false">Helper!B20</f>
        <v>0</v>
      </c>
      <c r="G64" s="20" t="n">
        <f aca="false">Helper!B21</f>
        <v>0</v>
      </c>
      <c r="H64" s="20" t="n">
        <f aca="false">Helper!B22</f>
        <v>0</v>
      </c>
    </row>
    <row r="65" customFormat="false" ht="21.75" hidden="false" customHeight="true" outlineLevel="0" collapsed="false">
      <c r="B65" s="20" t="n">
        <f aca="false">Helper!B23</f>
        <v>0</v>
      </c>
      <c r="C65" s="20" t="n">
        <f aca="false">Helper!B24</f>
        <v>0</v>
      </c>
      <c r="D65" s="20" t="n">
        <f aca="false">Helper!B25</f>
        <v>0</v>
      </c>
      <c r="E65" s="20" t="n">
        <f aca="false">Helper!B26</f>
        <v>0</v>
      </c>
      <c r="F65" s="20" t="n">
        <f aca="false">Helper!B27</f>
        <v>0</v>
      </c>
      <c r="G65" s="20" t="n">
        <f aca="false">Helper!B28</f>
        <v>0</v>
      </c>
      <c r="H65" s="20" t="n">
        <f aca="false">Helper!B29</f>
        <v>0</v>
      </c>
    </row>
    <row r="66" customFormat="false" ht="21.75" hidden="false" customHeight="true" outlineLevel="0" collapsed="false">
      <c r="B66" s="20" t="n">
        <f aca="false">Helper!B30</f>
        <v>0</v>
      </c>
      <c r="C66" s="20" t="n">
        <f aca="false">Helper!B31</f>
        <v>0</v>
      </c>
      <c r="D66" s="20" t="n">
        <f aca="false">Helper!B32</f>
        <v>0</v>
      </c>
      <c r="E66" s="21"/>
      <c r="F66" s="21"/>
      <c r="G66" s="21"/>
      <c r="H66" s="21"/>
    </row>
    <row r="67" customFormat="false" ht="18" hidden="false" customHeight="true" outlineLevel="0" collapsed="false"/>
    <row r="68" customFormat="false" ht="18" hidden="false" customHeight="true" outlineLevel="0" collapsed="false"/>
    <row r="69" customFormat="false" ht="18" hidden="false" customHeight="true" outlineLevel="0" collapsed="false">
      <c r="B69" s="10" t="s">
        <v>21</v>
      </c>
      <c r="C69" s="10"/>
      <c r="D69" s="10"/>
      <c r="E69" s="10"/>
      <c r="F69" s="10"/>
      <c r="G69" s="10"/>
      <c r="H69" s="10"/>
      <c r="I69" s="10"/>
      <c r="J69" s="10"/>
    </row>
    <row r="70" customFormat="false" ht="15.75" hidden="false" customHeight="true" outlineLevel="0" collapsed="false">
      <c r="B70" s="22" t="s">
        <v>22</v>
      </c>
      <c r="C70" s="22"/>
      <c r="D70" s="22"/>
      <c r="E70" s="15" t="s">
        <v>23</v>
      </c>
      <c r="F70" s="15"/>
      <c r="G70" s="15"/>
      <c r="H70" s="15"/>
      <c r="I70" s="15"/>
      <c r="J70" s="15"/>
    </row>
    <row r="71" customFormat="false" ht="15.75" hidden="false" customHeight="true" outlineLevel="0" collapsed="false">
      <c r="B71" s="23" t="s">
        <v>24</v>
      </c>
      <c r="C71" s="23"/>
      <c r="D71" s="23"/>
      <c r="E71" s="15" t="s">
        <v>25</v>
      </c>
      <c r="F71" s="15"/>
      <c r="G71" s="15"/>
      <c r="H71" s="15"/>
      <c r="I71" s="15"/>
      <c r="J71" s="15"/>
    </row>
    <row r="72" customFormat="false" ht="15.75" hidden="false" customHeight="true" outlineLevel="0" collapsed="false">
      <c r="B72" s="24" t="s">
        <v>26</v>
      </c>
      <c r="C72" s="24"/>
      <c r="D72" s="24"/>
      <c r="E72" s="15" t="s">
        <v>27</v>
      </c>
      <c r="F72" s="15"/>
      <c r="G72" s="15"/>
      <c r="H72" s="15"/>
      <c r="I72" s="15"/>
      <c r="J72" s="15"/>
    </row>
    <row r="73" customFormat="false" ht="15.75" hidden="false" customHeight="true" outlineLevel="0" collapsed="false">
      <c r="B73" s="25" t="s">
        <v>28</v>
      </c>
      <c r="C73" s="25"/>
      <c r="D73" s="25"/>
      <c r="E73" s="15" t="s">
        <v>29</v>
      </c>
      <c r="F73" s="15"/>
      <c r="G73" s="15"/>
      <c r="H73" s="15"/>
      <c r="I73" s="15"/>
      <c r="J73" s="15"/>
    </row>
    <row r="74" customFormat="false" ht="18" hidden="false" customHeight="true" outlineLevel="0" collapsed="false"/>
    <row r="75" customFormat="false" ht="18" hidden="false" customHeight="true" outlineLevel="0" collapsed="false"/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</sheetData>
  <mergeCells count="28">
    <mergeCell ref="A1:K3"/>
    <mergeCell ref="A4:K5"/>
    <mergeCell ref="B7:C7"/>
    <mergeCell ref="D7:E7"/>
    <mergeCell ref="F7:G7"/>
    <mergeCell ref="H7:I7"/>
    <mergeCell ref="B8:C9"/>
    <mergeCell ref="D8:E9"/>
    <mergeCell ref="F8:G9"/>
    <mergeCell ref="H8:I9"/>
    <mergeCell ref="B11:G11"/>
    <mergeCell ref="H11:J11"/>
    <mergeCell ref="H23:J23"/>
    <mergeCell ref="I24:J24"/>
    <mergeCell ref="I25:J25"/>
    <mergeCell ref="I26:J26"/>
    <mergeCell ref="I27:J27"/>
    <mergeCell ref="I28:J28"/>
    <mergeCell ref="B60:J60"/>
    <mergeCell ref="B69:J69"/>
    <mergeCell ref="B70:D70"/>
    <mergeCell ref="E70:J70"/>
    <mergeCell ref="B71:D71"/>
    <mergeCell ref="E71:J71"/>
    <mergeCell ref="B72:D72"/>
    <mergeCell ref="E72:J72"/>
    <mergeCell ref="B73:D73"/>
    <mergeCell ref="E73:J73"/>
  </mergeCells>
  <conditionalFormatting sqref="B62:H66">
    <cfRule type="colorScale" priority="2">
      <colorScale>
        <cfvo type="num" val="0"/>
        <cfvo type="num" val="0.5"/>
        <cfvo type="num" val="1"/>
        <color rgb="FFF4F6F8"/>
        <color rgb="FFA8D8B9"/>
        <color rgb="FF1A7A4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A85A"/>
    <pageSetUpPr fitToPage="false"/>
  </sheetPr>
  <dimension ref="A1:AL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34" min="4" style="0" width="4.5"/>
    <col collapsed="false" customWidth="true" hidden="false" outlineLevel="0" max="35" min="35" style="0" width="11"/>
    <col collapsed="false" customWidth="true" hidden="false" outlineLevel="0" max="37" min="36" style="0" width="9"/>
    <col collapsed="false" customWidth="true" hidden="false" outlineLevel="0" max="38" min="38" style="0" width="16"/>
  </cols>
  <sheetData>
    <row r="1" customFormat="false" ht="17.35" hidden="false" customHeight="true" outlineLevel="0" collapsed="false">
      <c r="A1" s="26" t="s">
        <v>30</v>
      </c>
      <c r="B1" s="26"/>
      <c r="C1" s="26"/>
      <c r="D1" s="27" t="n">
        <v>45658</v>
      </c>
      <c r="E1" s="27"/>
      <c r="F1" s="27"/>
      <c r="G1" s="27"/>
    </row>
    <row r="2" customFormat="false" ht="30" hidden="false" customHeight="true" outlineLevel="0" collapsed="false">
      <c r="A2" s="28" t="s">
        <v>31</v>
      </c>
      <c r="B2" s="28" t="s">
        <v>32</v>
      </c>
      <c r="C2" s="28" t="s">
        <v>33</v>
      </c>
      <c r="D2" s="29" t="n">
        <v>1</v>
      </c>
      <c r="E2" s="29" t="n">
        <v>2</v>
      </c>
      <c r="F2" s="29" t="n">
        <v>3</v>
      </c>
      <c r="G2" s="29" t="n">
        <v>4</v>
      </c>
      <c r="H2" s="29" t="n">
        <v>5</v>
      </c>
      <c r="I2" s="29" t="n">
        <v>6</v>
      </c>
      <c r="J2" s="29" t="n">
        <v>7</v>
      </c>
      <c r="K2" s="29" t="n">
        <v>8</v>
      </c>
      <c r="L2" s="29" t="n">
        <v>9</v>
      </c>
      <c r="M2" s="29" t="n">
        <v>10</v>
      </c>
      <c r="N2" s="29" t="n">
        <v>11</v>
      </c>
      <c r="O2" s="29" t="n">
        <v>12</v>
      </c>
      <c r="P2" s="29" t="n">
        <v>13</v>
      </c>
      <c r="Q2" s="29" t="n">
        <v>14</v>
      </c>
      <c r="R2" s="29" t="n">
        <v>15</v>
      </c>
      <c r="S2" s="29" t="n">
        <v>16</v>
      </c>
      <c r="T2" s="29" t="n">
        <v>17</v>
      </c>
      <c r="U2" s="29" t="n">
        <v>18</v>
      </c>
      <c r="V2" s="29" t="n">
        <v>19</v>
      </c>
      <c r="W2" s="29" t="n">
        <v>20</v>
      </c>
      <c r="X2" s="29" t="n">
        <v>21</v>
      </c>
      <c r="Y2" s="29" t="n">
        <v>22</v>
      </c>
      <c r="Z2" s="29" t="n">
        <v>23</v>
      </c>
      <c r="AA2" s="29" t="n">
        <v>24</v>
      </c>
      <c r="AB2" s="29" t="n">
        <v>25</v>
      </c>
      <c r="AC2" s="29" t="n">
        <v>26</v>
      </c>
      <c r="AD2" s="29" t="n">
        <v>27</v>
      </c>
      <c r="AE2" s="29" t="n">
        <v>28</v>
      </c>
      <c r="AF2" s="29" t="n">
        <v>29</v>
      </c>
      <c r="AG2" s="29" t="n">
        <v>30</v>
      </c>
      <c r="AH2" s="29" t="n">
        <v>31</v>
      </c>
      <c r="AI2" s="30" t="s">
        <v>34</v>
      </c>
      <c r="AJ2" s="30" t="s">
        <v>35</v>
      </c>
      <c r="AK2" s="30" t="s">
        <v>36</v>
      </c>
      <c r="AL2" s="30" t="s">
        <v>37</v>
      </c>
    </row>
    <row r="3" customFormat="false" ht="28.35" hidden="false" customHeight="false" outlineLevel="0" collapsed="false">
      <c r="A3" s="31" t="n">
        <v>1</v>
      </c>
      <c r="B3" s="32" t="s">
        <v>38</v>
      </c>
      <c r="C3" s="31" t="s">
        <v>10</v>
      </c>
      <c r="D3" s="33" t="b">
        <f aca="false">FALSE()</f>
        <v>0</v>
      </c>
      <c r="E3" s="33" t="b">
        <f aca="false">FALSE()</f>
        <v>0</v>
      </c>
      <c r="F3" s="33" t="b">
        <f aca="false">FALSE()</f>
        <v>0</v>
      </c>
      <c r="G3" s="33" t="b">
        <f aca="false">FALSE()</f>
        <v>0</v>
      </c>
      <c r="H3" s="33" t="b">
        <f aca="false">FALSE()</f>
        <v>0</v>
      </c>
      <c r="I3" s="33" t="b">
        <f aca="false">FALSE()</f>
        <v>0</v>
      </c>
      <c r="J3" s="33" t="b">
        <f aca="false">FALSE()</f>
        <v>0</v>
      </c>
      <c r="K3" s="33" t="b">
        <f aca="false">FALSE()</f>
        <v>0</v>
      </c>
      <c r="L3" s="33" t="b">
        <f aca="false">FALSE()</f>
        <v>0</v>
      </c>
      <c r="M3" s="33" t="b">
        <f aca="false">FALSE()</f>
        <v>0</v>
      </c>
      <c r="N3" s="33" t="b">
        <f aca="false">FALSE()</f>
        <v>0</v>
      </c>
      <c r="O3" s="33" t="b">
        <f aca="false">FALSE()</f>
        <v>0</v>
      </c>
      <c r="P3" s="33" t="b">
        <f aca="false">FALSE()</f>
        <v>0</v>
      </c>
      <c r="Q3" s="33" t="b">
        <f aca="false">FALSE()</f>
        <v>0</v>
      </c>
      <c r="R3" s="33" t="b">
        <f aca="false">FALSE()</f>
        <v>0</v>
      </c>
      <c r="S3" s="33" t="b">
        <f aca="false">FALSE()</f>
        <v>0</v>
      </c>
      <c r="T3" s="33" t="b">
        <f aca="false">FALSE()</f>
        <v>0</v>
      </c>
      <c r="U3" s="33" t="b">
        <f aca="false">FALSE()</f>
        <v>0</v>
      </c>
      <c r="V3" s="33" t="b">
        <f aca="false">FALSE()</f>
        <v>0</v>
      </c>
      <c r="W3" s="33" t="b">
        <f aca="false">FALSE()</f>
        <v>0</v>
      </c>
      <c r="X3" s="33" t="b">
        <f aca="false">FALSE()</f>
        <v>0</v>
      </c>
      <c r="Y3" s="33" t="b">
        <f aca="false">FALSE()</f>
        <v>0</v>
      </c>
      <c r="Z3" s="33" t="b">
        <f aca="false">FALSE()</f>
        <v>0</v>
      </c>
      <c r="AA3" s="33" t="b">
        <f aca="false">FALSE()</f>
        <v>0</v>
      </c>
      <c r="AB3" s="33" t="b">
        <f aca="false">FALSE()</f>
        <v>0</v>
      </c>
      <c r="AC3" s="33" t="b">
        <f aca="false">FALSE()</f>
        <v>0</v>
      </c>
      <c r="AD3" s="33" t="b">
        <f aca="false">FALSE()</f>
        <v>0</v>
      </c>
      <c r="AE3" s="33" t="b">
        <f aca="false">FALSE()</f>
        <v>0</v>
      </c>
      <c r="AF3" s="33" t="b">
        <f aca="false">FALSE()</f>
        <v>0</v>
      </c>
      <c r="AG3" s="33" t="b">
        <f aca="false">FALSE()</f>
        <v>0</v>
      </c>
      <c r="AH3" s="33" t="b">
        <f aca="false">FALSE()</f>
        <v>0</v>
      </c>
      <c r="AI3" s="34" t="n">
        <f aca="false">IFERROR(COUNTIF(D3:AH3,TRUE())/COUNTA(D3:AH3),0)</f>
        <v>0</v>
      </c>
      <c r="AJ3" s="35" t="n">
        <f aca="false">IFERROR(MAX(FREQUENCY(IF(D3:AH3=TRUE(),COLUMN(D3:AH3)-COLUMN(D3)+1),IF(D3:AH3&lt;&gt;TRUE(),COLUMN(D3:AH3)-COLUMN(D3)+1))),0)</f>
        <v>0</v>
      </c>
      <c r="AK3" s="35" t="n">
        <f aca="false">COUNTIF(D3:AH3,TRUE())</f>
        <v>0</v>
      </c>
      <c r="AL3" s="36" t="s">
        <v>39</v>
      </c>
    </row>
    <row r="4" customFormat="false" ht="28.35" hidden="false" customHeight="false" outlineLevel="0" collapsed="false">
      <c r="A4" s="37" t="n">
        <v>2</v>
      </c>
      <c r="B4" s="25" t="s">
        <v>40</v>
      </c>
      <c r="C4" s="37" t="s">
        <v>10</v>
      </c>
      <c r="D4" s="38" t="b">
        <f aca="false">FALSE()</f>
        <v>0</v>
      </c>
      <c r="E4" s="38" t="b">
        <f aca="false">FALSE()</f>
        <v>0</v>
      </c>
      <c r="F4" s="38" t="b">
        <f aca="false">FALSE()</f>
        <v>0</v>
      </c>
      <c r="G4" s="38" t="b">
        <f aca="false">FALSE()</f>
        <v>0</v>
      </c>
      <c r="H4" s="38" t="b">
        <f aca="false">FALSE()</f>
        <v>0</v>
      </c>
      <c r="I4" s="38" t="b">
        <f aca="false">FALSE()</f>
        <v>0</v>
      </c>
      <c r="J4" s="38" t="b">
        <f aca="false">FALSE()</f>
        <v>0</v>
      </c>
      <c r="K4" s="38" t="b">
        <f aca="false">FALSE()</f>
        <v>0</v>
      </c>
      <c r="L4" s="38" t="b">
        <f aca="false">FALSE()</f>
        <v>0</v>
      </c>
      <c r="M4" s="38" t="b">
        <f aca="false">FALSE()</f>
        <v>0</v>
      </c>
      <c r="N4" s="38" t="b">
        <f aca="false">FALSE()</f>
        <v>0</v>
      </c>
      <c r="O4" s="38" t="b">
        <f aca="false">FALSE()</f>
        <v>0</v>
      </c>
      <c r="P4" s="38" t="b">
        <f aca="false">FALSE()</f>
        <v>0</v>
      </c>
      <c r="Q4" s="38" t="b">
        <f aca="false">FALSE()</f>
        <v>0</v>
      </c>
      <c r="R4" s="38" t="b">
        <f aca="false">FALSE()</f>
        <v>0</v>
      </c>
      <c r="S4" s="38" t="b">
        <f aca="false">FALSE()</f>
        <v>0</v>
      </c>
      <c r="T4" s="38" t="b">
        <f aca="false">FALSE()</f>
        <v>0</v>
      </c>
      <c r="U4" s="38" t="b">
        <f aca="false">FALSE()</f>
        <v>0</v>
      </c>
      <c r="V4" s="38" t="b">
        <f aca="false">FALSE()</f>
        <v>0</v>
      </c>
      <c r="W4" s="38" t="b">
        <f aca="false">FALSE()</f>
        <v>0</v>
      </c>
      <c r="X4" s="38" t="b">
        <f aca="false">FALSE()</f>
        <v>0</v>
      </c>
      <c r="Y4" s="38" t="b">
        <f aca="false">FALSE()</f>
        <v>0</v>
      </c>
      <c r="Z4" s="38" t="b">
        <f aca="false">FALSE()</f>
        <v>0</v>
      </c>
      <c r="AA4" s="38" t="b">
        <f aca="false">FALSE()</f>
        <v>0</v>
      </c>
      <c r="AB4" s="38" t="b">
        <f aca="false">FALSE()</f>
        <v>0</v>
      </c>
      <c r="AC4" s="38" t="b">
        <f aca="false">FALSE()</f>
        <v>0</v>
      </c>
      <c r="AD4" s="38" t="b">
        <f aca="false">FALSE()</f>
        <v>0</v>
      </c>
      <c r="AE4" s="38" t="b">
        <f aca="false">FALSE()</f>
        <v>0</v>
      </c>
      <c r="AF4" s="38" t="b">
        <f aca="false">FALSE()</f>
        <v>0</v>
      </c>
      <c r="AG4" s="38" t="b">
        <f aca="false">FALSE()</f>
        <v>0</v>
      </c>
      <c r="AH4" s="38" t="b">
        <f aca="false">FALSE()</f>
        <v>0</v>
      </c>
      <c r="AI4" s="39" t="n">
        <f aca="false">IFERROR(COUNTIF(D4:AH4,TRUE())/COUNTA(D4:AH4),0)</f>
        <v>0</v>
      </c>
      <c r="AJ4" s="40" t="n">
        <f aca="false">IFERROR(MAX(FREQUENCY(IF(D4:AH4=TRUE(),COLUMN(D4:AH4)-COLUMN(D4)+1),IF(D4:AH4&lt;&gt;TRUE(),COLUMN(D4:AH4)-COLUMN(D4)+1))),0)</f>
        <v>0</v>
      </c>
      <c r="AK4" s="40" t="n">
        <f aca="false">COUNTIF(D4:AH4,TRUE())</f>
        <v>0</v>
      </c>
      <c r="AL4" s="36" t="s">
        <v>41</v>
      </c>
    </row>
    <row r="5" customFormat="false" ht="28.35" hidden="false" customHeight="false" outlineLevel="0" collapsed="false">
      <c r="A5" s="31" t="n">
        <v>3</v>
      </c>
      <c r="B5" s="32" t="s">
        <v>42</v>
      </c>
      <c r="C5" s="31" t="s">
        <v>10</v>
      </c>
      <c r="D5" s="33" t="b">
        <f aca="false">FALSE()</f>
        <v>0</v>
      </c>
      <c r="E5" s="33" t="b">
        <f aca="false">FALSE()</f>
        <v>0</v>
      </c>
      <c r="F5" s="33" t="b">
        <f aca="false">FALSE()</f>
        <v>0</v>
      </c>
      <c r="G5" s="33" t="b">
        <f aca="false">FALSE()</f>
        <v>0</v>
      </c>
      <c r="H5" s="33" t="b">
        <f aca="false">FALSE()</f>
        <v>0</v>
      </c>
      <c r="I5" s="33" t="b">
        <f aca="false">FALSE()</f>
        <v>0</v>
      </c>
      <c r="J5" s="33" t="b">
        <f aca="false">FALSE()</f>
        <v>0</v>
      </c>
      <c r="K5" s="33" t="b">
        <f aca="false">FALSE()</f>
        <v>0</v>
      </c>
      <c r="L5" s="33" t="b">
        <f aca="false">FALSE()</f>
        <v>0</v>
      </c>
      <c r="M5" s="33" t="b">
        <f aca="false">FALSE()</f>
        <v>0</v>
      </c>
      <c r="N5" s="33" t="b">
        <f aca="false">FALSE()</f>
        <v>0</v>
      </c>
      <c r="O5" s="33" t="b">
        <f aca="false">FALSE()</f>
        <v>0</v>
      </c>
      <c r="P5" s="33" t="b">
        <f aca="false">FALSE()</f>
        <v>0</v>
      </c>
      <c r="Q5" s="33" t="b">
        <f aca="false">FALSE()</f>
        <v>0</v>
      </c>
      <c r="R5" s="33" t="b">
        <f aca="false">FALSE()</f>
        <v>0</v>
      </c>
      <c r="S5" s="33" t="b">
        <f aca="false">FALSE()</f>
        <v>0</v>
      </c>
      <c r="T5" s="33" t="b">
        <f aca="false">FALSE()</f>
        <v>0</v>
      </c>
      <c r="U5" s="33" t="b">
        <f aca="false">FALSE()</f>
        <v>0</v>
      </c>
      <c r="V5" s="33" t="b">
        <f aca="false">FALSE()</f>
        <v>0</v>
      </c>
      <c r="W5" s="33" t="b">
        <f aca="false">FALSE()</f>
        <v>0</v>
      </c>
      <c r="X5" s="33" t="b">
        <f aca="false">FALSE()</f>
        <v>0</v>
      </c>
      <c r="Y5" s="33" t="b">
        <f aca="false">FALSE()</f>
        <v>0</v>
      </c>
      <c r="Z5" s="33" t="b">
        <f aca="false">FALSE()</f>
        <v>0</v>
      </c>
      <c r="AA5" s="33" t="b">
        <f aca="false">FALSE()</f>
        <v>0</v>
      </c>
      <c r="AB5" s="33" t="b">
        <f aca="false">FALSE()</f>
        <v>0</v>
      </c>
      <c r="AC5" s="33" t="b">
        <f aca="false">FALSE()</f>
        <v>0</v>
      </c>
      <c r="AD5" s="33" t="b">
        <f aca="false">FALSE()</f>
        <v>0</v>
      </c>
      <c r="AE5" s="33" t="b">
        <f aca="false">FALSE()</f>
        <v>0</v>
      </c>
      <c r="AF5" s="33" t="b">
        <f aca="false">FALSE()</f>
        <v>0</v>
      </c>
      <c r="AG5" s="33" t="b">
        <f aca="false">FALSE()</f>
        <v>0</v>
      </c>
      <c r="AH5" s="33" t="b">
        <f aca="false">FALSE()</f>
        <v>0</v>
      </c>
      <c r="AI5" s="34" t="n">
        <f aca="false">IFERROR(COUNTIF(D5:AH5,TRUE())/COUNTA(D5:AH5),0)</f>
        <v>0</v>
      </c>
      <c r="AJ5" s="35" t="n">
        <f aca="false">IFERROR(MAX(FREQUENCY(IF(D5:AH5=TRUE(),COLUMN(D5:AH5)-COLUMN(D5)+1),IF(D5:AH5&lt;&gt;TRUE(),COLUMN(D5:AH5)-COLUMN(D5)+1))),0)</f>
        <v>0</v>
      </c>
      <c r="AK5" s="35" t="n">
        <f aca="false">COUNTIF(D5:AH5,TRUE())</f>
        <v>0</v>
      </c>
      <c r="AL5" s="36" t="s">
        <v>43</v>
      </c>
    </row>
    <row r="6" customFormat="false" ht="28.35" hidden="false" customHeight="false" outlineLevel="0" collapsed="false">
      <c r="A6" s="37" t="n">
        <v>4</v>
      </c>
      <c r="B6" s="25" t="s">
        <v>44</v>
      </c>
      <c r="C6" s="37" t="s">
        <v>10</v>
      </c>
      <c r="D6" s="38" t="b">
        <f aca="false">FALSE()</f>
        <v>0</v>
      </c>
      <c r="E6" s="38" t="b">
        <f aca="false">FALSE()</f>
        <v>0</v>
      </c>
      <c r="F6" s="38" t="b">
        <f aca="false">FALSE()</f>
        <v>0</v>
      </c>
      <c r="G6" s="38" t="b">
        <f aca="false">FALSE()</f>
        <v>0</v>
      </c>
      <c r="H6" s="38" t="b">
        <f aca="false">FALSE()</f>
        <v>0</v>
      </c>
      <c r="I6" s="38" t="b">
        <f aca="false">FALSE()</f>
        <v>0</v>
      </c>
      <c r="J6" s="38" t="b">
        <f aca="false">FALSE()</f>
        <v>0</v>
      </c>
      <c r="K6" s="38" t="b">
        <f aca="false">FALSE()</f>
        <v>0</v>
      </c>
      <c r="L6" s="38" t="b">
        <f aca="false">FALSE()</f>
        <v>0</v>
      </c>
      <c r="M6" s="38" t="b">
        <f aca="false">FALSE()</f>
        <v>0</v>
      </c>
      <c r="N6" s="38" t="b">
        <f aca="false">FALSE()</f>
        <v>0</v>
      </c>
      <c r="O6" s="38" t="b">
        <f aca="false">FALSE()</f>
        <v>0</v>
      </c>
      <c r="P6" s="38" t="b">
        <f aca="false">FALSE()</f>
        <v>0</v>
      </c>
      <c r="Q6" s="38" t="b">
        <f aca="false">FALSE()</f>
        <v>0</v>
      </c>
      <c r="R6" s="38" t="b">
        <f aca="false">FALSE()</f>
        <v>0</v>
      </c>
      <c r="S6" s="38" t="b">
        <f aca="false">FALSE()</f>
        <v>0</v>
      </c>
      <c r="T6" s="38" t="b">
        <f aca="false">FALSE()</f>
        <v>0</v>
      </c>
      <c r="U6" s="38" t="b">
        <f aca="false">FALSE()</f>
        <v>0</v>
      </c>
      <c r="V6" s="38" t="b">
        <f aca="false">FALSE()</f>
        <v>0</v>
      </c>
      <c r="W6" s="38" t="b">
        <f aca="false">FALSE()</f>
        <v>0</v>
      </c>
      <c r="X6" s="38" t="b">
        <f aca="false">FALSE()</f>
        <v>0</v>
      </c>
      <c r="Y6" s="38" t="b">
        <f aca="false">FALSE()</f>
        <v>0</v>
      </c>
      <c r="Z6" s="38" t="b">
        <f aca="false">FALSE()</f>
        <v>0</v>
      </c>
      <c r="AA6" s="38" t="b">
        <f aca="false">FALSE()</f>
        <v>0</v>
      </c>
      <c r="AB6" s="38" t="b">
        <f aca="false">FALSE()</f>
        <v>0</v>
      </c>
      <c r="AC6" s="38" t="b">
        <f aca="false">FALSE()</f>
        <v>0</v>
      </c>
      <c r="AD6" s="38" t="b">
        <f aca="false">FALSE()</f>
        <v>0</v>
      </c>
      <c r="AE6" s="38" t="b">
        <f aca="false">FALSE()</f>
        <v>0</v>
      </c>
      <c r="AF6" s="38" t="b">
        <f aca="false">FALSE()</f>
        <v>0</v>
      </c>
      <c r="AG6" s="38" t="b">
        <f aca="false">FALSE()</f>
        <v>0</v>
      </c>
      <c r="AH6" s="38" t="b">
        <f aca="false">FALSE()</f>
        <v>0</v>
      </c>
      <c r="AI6" s="39" t="n">
        <f aca="false">IFERROR(COUNTIF(D6:AH6,TRUE())/COUNTA(D6:AH6),0)</f>
        <v>0</v>
      </c>
      <c r="AJ6" s="40" t="n">
        <f aca="false">IFERROR(MAX(FREQUENCY(IF(D6:AH6=TRUE(),COLUMN(D6:AH6)-COLUMN(D6)+1),IF(D6:AH6&lt;&gt;TRUE(),COLUMN(D6:AH6)-COLUMN(D6)+1))),0)</f>
        <v>0</v>
      </c>
      <c r="AK6" s="40" t="n">
        <f aca="false">COUNTIF(D6:AH6,TRUE())</f>
        <v>0</v>
      </c>
      <c r="AL6" s="36" t="s">
        <v>45</v>
      </c>
    </row>
    <row r="7" customFormat="false" ht="28.35" hidden="false" customHeight="false" outlineLevel="0" collapsed="false">
      <c r="A7" s="31" t="n">
        <v>5</v>
      </c>
      <c r="B7" s="32" t="s">
        <v>46</v>
      </c>
      <c r="C7" s="31" t="s">
        <v>10</v>
      </c>
      <c r="D7" s="33" t="b">
        <f aca="false">FALSE()</f>
        <v>0</v>
      </c>
      <c r="E7" s="33" t="b">
        <f aca="false">FALSE()</f>
        <v>0</v>
      </c>
      <c r="F7" s="33" t="b">
        <f aca="false">FALSE()</f>
        <v>0</v>
      </c>
      <c r="G7" s="33" t="b">
        <f aca="false">FALSE()</f>
        <v>0</v>
      </c>
      <c r="H7" s="33" t="b">
        <f aca="false">FALSE()</f>
        <v>0</v>
      </c>
      <c r="I7" s="33" t="b">
        <f aca="false">FALSE()</f>
        <v>0</v>
      </c>
      <c r="J7" s="33" t="b">
        <f aca="false">FALSE()</f>
        <v>0</v>
      </c>
      <c r="K7" s="33" t="b">
        <f aca="false">FALSE()</f>
        <v>0</v>
      </c>
      <c r="L7" s="33" t="b">
        <f aca="false">FALSE()</f>
        <v>0</v>
      </c>
      <c r="M7" s="33" t="b">
        <f aca="false">FALSE()</f>
        <v>0</v>
      </c>
      <c r="N7" s="33" t="b">
        <f aca="false">FALSE()</f>
        <v>0</v>
      </c>
      <c r="O7" s="33" t="b">
        <f aca="false">FALSE()</f>
        <v>0</v>
      </c>
      <c r="P7" s="33" t="b">
        <f aca="false">FALSE()</f>
        <v>0</v>
      </c>
      <c r="Q7" s="33" t="b">
        <f aca="false">FALSE()</f>
        <v>0</v>
      </c>
      <c r="R7" s="33" t="b">
        <f aca="false">FALSE()</f>
        <v>0</v>
      </c>
      <c r="S7" s="33" t="b">
        <f aca="false">FALSE()</f>
        <v>0</v>
      </c>
      <c r="T7" s="33" t="b">
        <f aca="false">FALSE()</f>
        <v>0</v>
      </c>
      <c r="U7" s="33" t="b">
        <f aca="false">FALSE()</f>
        <v>0</v>
      </c>
      <c r="V7" s="33" t="b">
        <f aca="false">FALSE()</f>
        <v>0</v>
      </c>
      <c r="W7" s="33" t="b">
        <f aca="false">FALSE()</f>
        <v>0</v>
      </c>
      <c r="X7" s="33" t="b">
        <f aca="false">FALSE()</f>
        <v>0</v>
      </c>
      <c r="Y7" s="33" t="b">
        <f aca="false">FALSE()</f>
        <v>0</v>
      </c>
      <c r="Z7" s="33" t="b">
        <f aca="false">FALSE()</f>
        <v>0</v>
      </c>
      <c r="AA7" s="33" t="b">
        <f aca="false">FALSE()</f>
        <v>0</v>
      </c>
      <c r="AB7" s="33" t="b">
        <f aca="false">FALSE()</f>
        <v>0</v>
      </c>
      <c r="AC7" s="33" t="b">
        <f aca="false">FALSE()</f>
        <v>0</v>
      </c>
      <c r="AD7" s="33" t="b">
        <f aca="false">FALSE()</f>
        <v>0</v>
      </c>
      <c r="AE7" s="33" t="b">
        <f aca="false">FALSE()</f>
        <v>0</v>
      </c>
      <c r="AF7" s="33" t="b">
        <f aca="false">FALSE()</f>
        <v>0</v>
      </c>
      <c r="AG7" s="33" t="b">
        <f aca="false">FALSE()</f>
        <v>0</v>
      </c>
      <c r="AH7" s="33" t="b">
        <f aca="false">FALSE()</f>
        <v>0</v>
      </c>
      <c r="AI7" s="34" t="n">
        <f aca="false">IFERROR(COUNTIF(D7:AH7,TRUE())/COUNTA(D7:AH7),0)</f>
        <v>0</v>
      </c>
      <c r="AJ7" s="35" t="n">
        <f aca="false">IFERROR(MAX(FREQUENCY(IF(D7:AH7=TRUE(),COLUMN(D7:AH7)-COLUMN(D7)+1),IF(D7:AH7&lt;&gt;TRUE(),COLUMN(D7:AH7)-COLUMN(D7)+1))),0)</f>
        <v>0</v>
      </c>
      <c r="AK7" s="35" t="n">
        <f aca="false">COUNTIF(D7:AH7,TRUE())</f>
        <v>0</v>
      </c>
      <c r="AL7" s="36" t="s">
        <v>47</v>
      </c>
    </row>
    <row r="8" customFormat="false" ht="28.35" hidden="false" customHeight="false" outlineLevel="0" collapsed="false">
      <c r="A8" s="37" t="n">
        <v>6</v>
      </c>
      <c r="B8" s="25" t="s">
        <v>48</v>
      </c>
      <c r="C8" s="37" t="s">
        <v>10</v>
      </c>
      <c r="D8" s="38" t="b">
        <f aca="false">FALSE()</f>
        <v>0</v>
      </c>
      <c r="E8" s="38" t="b">
        <f aca="false">FALSE()</f>
        <v>0</v>
      </c>
      <c r="F8" s="38" t="b">
        <f aca="false">FALSE()</f>
        <v>0</v>
      </c>
      <c r="G8" s="38" t="b">
        <f aca="false">FALSE()</f>
        <v>0</v>
      </c>
      <c r="H8" s="38" t="b">
        <f aca="false">FALSE()</f>
        <v>0</v>
      </c>
      <c r="I8" s="38" t="b">
        <f aca="false">FALSE()</f>
        <v>0</v>
      </c>
      <c r="J8" s="38" t="b">
        <f aca="false">FALSE()</f>
        <v>0</v>
      </c>
      <c r="K8" s="38" t="b">
        <f aca="false">FALSE()</f>
        <v>0</v>
      </c>
      <c r="L8" s="38" t="b">
        <f aca="false">FALSE()</f>
        <v>0</v>
      </c>
      <c r="M8" s="38" t="b">
        <f aca="false">FALSE()</f>
        <v>0</v>
      </c>
      <c r="N8" s="38" t="b">
        <f aca="false">FALSE()</f>
        <v>0</v>
      </c>
      <c r="O8" s="38" t="b">
        <f aca="false">FALSE()</f>
        <v>0</v>
      </c>
      <c r="P8" s="38" t="b">
        <f aca="false">FALSE()</f>
        <v>0</v>
      </c>
      <c r="Q8" s="38" t="b">
        <f aca="false">FALSE()</f>
        <v>0</v>
      </c>
      <c r="R8" s="38" t="b">
        <f aca="false">FALSE()</f>
        <v>0</v>
      </c>
      <c r="S8" s="38" t="b">
        <f aca="false">FALSE()</f>
        <v>0</v>
      </c>
      <c r="T8" s="38" t="b">
        <f aca="false">FALSE()</f>
        <v>0</v>
      </c>
      <c r="U8" s="38" t="b">
        <f aca="false">FALSE()</f>
        <v>0</v>
      </c>
      <c r="V8" s="38" t="b">
        <f aca="false">FALSE()</f>
        <v>0</v>
      </c>
      <c r="W8" s="38" t="b">
        <f aca="false">FALSE()</f>
        <v>0</v>
      </c>
      <c r="X8" s="38" t="b">
        <f aca="false">FALSE()</f>
        <v>0</v>
      </c>
      <c r="Y8" s="38" t="b">
        <f aca="false">FALSE()</f>
        <v>0</v>
      </c>
      <c r="Z8" s="38" t="b">
        <f aca="false">FALSE()</f>
        <v>0</v>
      </c>
      <c r="AA8" s="38" t="b">
        <f aca="false">FALSE()</f>
        <v>0</v>
      </c>
      <c r="AB8" s="38" t="b">
        <f aca="false">FALSE()</f>
        <v>0</v>
      </c>
      <c r="AC8" s="38" t="b">
        <f aca="false">FALSE()</f>
        <v>0</v>
      </c>
      <c r="AD8" s="38" t="b">
        <f aca="false">FALSE()</f>
        <v>0</v>
      </c>
      <c r="AE8" s="38" t="b">
        <f aca="false">FALSE()</f>
        <v>0</v>
      </c>
      <c r="AF8" s="38" t="b">
        <f aca="false">FALSE()</f>
        <v>0</v>
      </c>
      <c r="AG8" s="38" t="b">
        <f aca="false">FALSE()</f>
        <v>0</v>
      </c>
      <c r="AH8" s="38" t="b">
        <f aca="false">FALSE()</f>
        <v>0</v>
      </c>
      <c r="AI8" s="39" t="n">
        <f aca="false">IFERROR(COUNTIF(D8:AH8,TRUE())/COUNTA(D8:AH8),0)</f>
        <v>0</v>
      </c>
      <c r="AJ8" s="40" t="n">
        <f aca="false">IFERROR(MAX(FREQUENCY(IF(D8:AH8=TRUE(),COLUMN(D8:AH8)-COLUMN(D8)+1),IF(D8:AH8&lt;&gt;TRUE(),COLUMN(D8:AH8)-COLUMN(D8)+1))),0)</f>
        <v>0</v>
      </c>
      <c r="AK8" s="40" t="n">
        <f aca="false">COUNTIF(D8:AH8,TRUE())</f>
        <v>0</v>
      </c>
      <c r="AL8" s="36" t="s">
        <v>49</v>
      </c>
    </row>
    <row r="9" customFormat="false" ht="28.35" hidden="false" customHeight="false" outlineLevel="0" collapsed="false">
      <c r="A9" s="31" t="n">
        <v>7</v>
      </c>
      <c r="B9" s="32" t="s">
        <v>50</v>
      </c>
      <c r="C9" s="31" t="s">
        <v>11</v>
      </c>
      <c r="D9" s="33" t="b">
        <f aca="false">FALSE()</f>
        <v>0</v>
      </c>
      <c r="E9" s="33" t="b">
        <f aca="false">FALSE()</f>
        <v>0</v>
      </c>
      <c r="F9" s="33" t="b">
        <f aca="false">FALSE()</f>
        <v>0</v>
      </c>
      <c r="G9" s="33" t="b">
        <f aca="false">FALSE()</f>
        <v>0</v>
      </c>
      <c r="H9" s="33" t="b">
        <f aca="false">FALSE()</f>
        <v>0</v>
      </c>
      <c r="I9" s="33" t="b">
        <f aca="false">FALSE()</f>
        <v>0</v>
      </c>
      <c r="J9" s="33" t="b">
        <f aca="false">FALSE()</f>
        <v>0</v>
      </c>
      <c r="K9" s="33" t="b">
        <f aca="false">FALSE()</f>
        <v>0</v>
      </c>
      <c r="L9" s="33" t="b">
        <f aca="false">FALSE()</f>
        <v>0</v>
      </c>
      <c r="M9" s="33" t="b">
        <f aca="false">FALSE()</f>
        <v>0</v>
      </c>
      <c r="N9" s="33" t="b">
        <f aca="false">FALSE()</f>
        <v>0</v>
      </c>
      <c r="O9" s="33" t="b">
        <f aca="false">FALSE()</f>
        <v>0</v>
      </c>
      <c r="P9" s="33" t="b">
        <f aca="false">FALSE()</f>
        <v>0</v>
      </c>
      <c r="Q9" s="33" t="b">
        <f aca="false">FALSE()</f>
        <v>0</v>
      </c>
      <c r="R9" s="33" t="b">
        <f aca="false">FALSE()</f>
        <v>0</v>
      </c>
      <c r="S9" s="33" t="b">
        <f aca="false">FALSE()</f>
        <v>0</v>
      </c>
      <c r="T9" s="33" t="b">
        <f aca="false">FALSE()</f>
        <v>0</v>
      </c>
      <c r="U9" s="33" t="b">
        <f aca="false">FALSE()</f>
        <v>0</v>
      </c>
      <c r="V9" s="33" t="b">
        <f aca="false">FALSE()</f>
        <v>0</v>
      </c>
      <c r="W9" s="33" t="b">
        <f aca="false">FALSE()</f>
        <v>0</v>
      </c>
      <c r="X9" s="33" t="b">
        <f aca="false">FALSE()</f>
        <v>0</v>
      </c>
      <c r="Y9" s="33" t="b">
        <f aca="false">FALSE()</f>
        <v>0</v>
      </c>
      <c r="Z9" s="33" t="b">
        <f aca="false">FALSE()</f>
        <v>0</v>
      </c>
      <c r="AA9" s="33" t="b">
        <f aca="false">FALSE()</f>
        <v>0</v>
      </c>
      <c r="AB9" s="33" t="b">
        <f aca="false">FALSE()</f>
        <v>0</v>
      </c>
      <c r="AC9" s="33" t="b">
        <f aca="false">FALSE()</f>
        <v>0</v>
      </c>
      <c r="AD9" s="33" t="b">
        <f aca="false">FALSE()</f>
        <v>0</v>
      </c>
      <c r="AE9" s="33" t="b">
        <f aca="false">FALSE()</f>
        <v>0</v>
      </c>
      <c r="AF9" s="33" t="b">
        <f aca="false">FALSE()</f>
        <v>0</v>
      </c>
      <c r="AG9" s="33" t="b">
        <f aca="false">FALSE()</f>
        <v>0</v>
      </c>
      <c r="AH9" s="33" t="b">
        <f aca="false">FALSE()</f>
        <v>0</v>
      </c>
      <c r="AI9" s="34" t="n">
        <f aca="false">IFERROR(COUNTIF(D9:AH9,TRUE())/COUNTA(D9:AH9),0)</f>
        <v>0</v>
      </c>
      <c r="AJ9" s="35" t="n">
        <f aca="false">IFERROR(MAX(FREQUENCY(IF(D9:AH9=TRUE(),COLUMN(D9:AH9)-COLUMN(D9)+1),IF(D9:AH9&lt;&gt;TRUE(),COLUMN(D9:AH9)-COLUMN(D9)+1))),0)</f>
        <v>0</v>
      </c>
      <c r="AK9" s="35" t="n">
        <f aca="false">COUNTIF(D9:AH9,TRUE())</f>
        <v>0</v>
      </c>
      <c r="AL9" s="36" t="s">
        <v>51</v>
      </c>
    </row>
    <row r="10" customFormat="false" ht="28.35" hidden="false" customHeight="false" outlineLevel="0" collapsed="false">
      <c r="A10" s="37" t="n">
        <v>8</v>
      </c>
      <c r="B10" s="25" t="s">
        <v>52</v>
      </c>
      <c r="C10" s="37" t="s">
        <v>11</v>
      </c>
      <c r="D10" s="38" t="b">
        <f aca="false">FALSE()</f>
        <v>0</v>
      </c>
      <c r="E10" s="38" t="b">
        <f aca="false">FALSE()</f>
        <v>0</v>
      </c>
      <c r="F10" s="38" t="b">
        <f aca="false">FALSE()</f>
        <v>0</v>
      </c>
      <c r="G10" s="38" t="b">
        <f aca="false">FALSE()</f>
        <v>0</v>
      </c>
      <c r="H10" s="38" t="b">
        <f aca="false">FALSE()</f>
        <v>0</v>
      </c>
      <c r="I10" s="38" t="b">
        <f aca="false">FALSE()</f>
        <v>0</v>
      </c>
      <c r="J10" s="38" t="b">
        <f aca="false">FALSE()</f>
        <v>0</v>
      </c>
      <c r="K10" s="38" t="b">
        <f aca="false">FALSE()</f>
        <v>0</v>
      </c>
      <c r="L10" s="38" t="b">
        <f aca="false">FALSE()</f>
        <v>0</v>
      </c>
      <c r="M10" s="38" t="b">
        <f aca="false">FALSE()</f>
        <v>0</v>
      </c>
      <c r="N10" s="38" t="b">
        <f aca="false">FALSE()</f>
        <v>0</v>
      </c>
      <c r="O10" s="38" t="b">
        <f aca="false">FALSE()</f>
        <v>0</v>
      </c>
      <c r="P10" s="38" t="b">
        <f aca="false">FALSE()</f>
        <v>0</v>
      </c>
      <c r="Q10" s="38" t="b">
        <f aca="false">FALSE()</f>
        <v>0</v>
      </c>
      <c r="R10" s="38" t="b">
        <f aca="false">FALSE()</f>
        <v>0</v>
      </c>
      <c r="S10" s="38" t="b">
        <f aca="false">FALSE()</f>
        <v>0</v>
      </c>
      <c r="T10" s="38" t="b">
        <f aca="false">FALSE()</f>
        <v>0</v>
      </c>
      <c r="U10" s="38" t="b">
        <f aca="false">FALSE()</f>
        <v>0</v>
      </c>
      <c r="V10" s="38" t="b">
        <f aca="false">FALSE()</f>
        <v>0</v>
      </c>
      <c r="W10" s="38" t="b">
        <f aca="false">FALSE()</f>
        <v>0</v>
      </c>
      <c r="X10" s="38" t="b">
        <f aca="false">FALSE()</f>
        <v>0</v>
      </c>
      <c r="Y10" s="38" t="b">
        <f aca="false">FALSE()</f>
        <v>0</v>
      </c>
      <c r="Z10" s="38" t="b">
        <f aca="false">FALSE()</f>
        <v>0</v>
      </c>
      <c r="AA10" s="38" t="b">
        <f aca="false">FALSE()</f>
        <v>0</v>
      </c>
      <c r="AB10" s="38" t="b">
        <f aca="false">FALSE()</f>
        <v>0</v>
      </c>
      <c r="AC10" s="38" t="b">
        <f aca="false">FALSE()</f>
        <v>0</v>
      </c>
      <c r="AD10" s="38" t="b">
        <f aca="false">FALSE()</f>
        <v>0</v>
      </c>
      <c r="AE10" s="38" t="b">
        <f aca="false">FALSE()</f>
        <v>0</v>
      </c>
      <c r="AF10" s="38" t="b">
        <f aca="false">FALSE()</f>
        <v>0</v>
      </c>
      <c r="AG10" s="38" t="b">
        <f aca="false">FALSE()</f>
        <v>0</v>
      </c>
      <c r="AH10" s="38" t="b">
        <f aca="false">FALSE()</f>
        <v>0</v>
      </c>
      <c r="AI10" s="39" t="n">
        <f aca="false">IFERROR(COUNTIF(D10:AH10,TRUE())/COUNTA(D10:AH10),0)</f>
        <v>0</v>
      </c>
      <c r="AJ10" s="40" t="n">
        <f aca="false">IFERROR(MAX(FREQUENCY(IF(D10:AH10=TRUE(),COLUMN(D10:AH10)-COLUMN(D10)+1),IF(D10:AH10&lt;&gt;TRUE(),COLUMN(D10:AH10)-COLUMN(D10)+1))),0)</f>
        <v>0</v>
      </c>
      <c r="AK10" s="40" t="n">
        <f aca="false">COUNTIF(D10:AH10,TRUE())</f>
        <v>0</v>
      </c>
      <c r="AL10" s="36" t="s">
        <v>53</v>
      </c>
    </row>
    <row r="11" customFormat="false" ht="28.35" hidden="false" customHeight="false" outlineLevel="0" collapsed="false">
      <c r="A11" s="31" t="n">
        <v>9</v>
      </c>
      <c r="B11" s="32" t="s">
        <v>54</v>
      </c>
      <c r="C11" s="31" t="s">
        <v>11</v>
      </c>
      <c r="D11" s="33" t="b">
        <f aca="false">FALSE()</f>
        <v>0</v>
      </c>
      <c r="E11" s="33" t="b">
        <f aca="false">FALSE()</f>
        <v>0</v>
      </c>
      <c r="F11" s="33" t="b">
        <f aca="false">FALSE()</f>
        <v>0</v>
      </c>
      <c r="G11" s="33" t="b">
        <f aca="false">FALSE()</f>
        <v>0</v>
      </c>
      <c r="H11" s="33" t="b">
        <f aca="false">FALSE()</f>
        <v>0</v>
      </c>
      <c r="I11" s="33" t="b">
        <f aca="false">FALSE()</f>
        <v>0</v>
      </c>
      <c r="J11" s="33" t="b">
        <f aca="false">FALSE()</f>
        <v>0</v>
      </c>
      <c r="K11" s="33" t="b">
        <f aca="false">FALSE()</f>
        <v>0</v>
      </c>
      <c r="L11" s="33" t="b">
        <f aca="false">FALSE()</f>
        <v>0</v>
      </c>
      <c r="M11" s="33" t="b">
        <f aca="false">FALSE()</f>
        <v>0</v>
      </c>
      <c r="N11" s="33" t="b">
        <f aca="false">FALSE()</f>
        <v>0</v>
      </c>
      <c r="O11" s="33" t="b">
        <f aca="false">FALSE()</f>
        <v>0</v>
      </c>
      <c r="P11" s="33" t="b">
        <f aca="false">FALSE()</f>
        <v>0</v>
      </c>
      <c r="Q11" s="33" t="b">
        <f aca="false">FALSE()</f>
        <v>0</v>
      </c>
      <c r="R11" s="33" t="b">
        <f aca="false">FALSE()</f>
        <v>0</v>
      </c>
      <c r="S11" s="33" t="b">
        <f aca="false">FALSE()</f>
        <v>0</v>
      </c>
      <c r="T11" s="33" t="b">
        <f aca="false">FALSE()</f>
        <v>0</v>
      </c>
      <c r="U11" s="33" t="b">
        <f aca="false">FALSE()</f>
        <v>0</v>
      </c>
      <c r="V11" s="33" t="b">
        <f aca="false">FALSE()</f>
        <v>0</v>
      </c>
      <c r="W11" s="33" t="b">
        <f aca="false">FALSE()</f>
        <v>0</v>
      </c>
      <c r="X11" s="33" t="b">
        <f aca="false">FALSE()</f>
        <v>0</v>
      </c>
      <c r="Y11" s="33" t="b">
        <f aca="false">FALSE()</f>
        <v>0</v>
      </c>
      <c r="Z11" s="33" t="b">
        <f aca="false">FALSE()</f>
        <v>0</v>
      </c>
      <c r="AA11" s="33" t="b">
        <f aca="false">FALSE()</f>
        <v>0</v>
      </c>
      <c r="AB11" s="33" t="b">
        <f aca="false">FALSE()</f>
        <v>0</v>
      </c>
      <c r="AC11" s="33" t="b">
        <f aca="false">FALSE()</f>
        <v>0</v>
      </c>
      <c r="AD11" s="33" t="b">
        <f aca="false">FALSE()</f>
        <v>0</v>
      </c>
      <c r="AE11" s="33" t="b">
        <f aca="false">FALSE()</f>
        <v>0</v>
      </c>
      <c r="AF11" s="33" t="b">
        <f aca="false">FALSE()</f>
        <v>0</v>
      </c>
      <c r="AG11" s="33" t="b">
        <f aca="false">FALSE()</f>
        <v>0</v>
      </c>
      <c r="AH11" s="33" t="b">
        <f aca="false">FALSE()</f>
        <v>0</v>
      </c>
      <c r="AI11" s="34" t="n">
        <f aca="false">IFERROR(COUNTIF(D11:AH11,TRUE())/COUNTA(D11:AH11),0)</f>
        <v>0</v>
      </c>
      <c r="AJ11" s="35" t="n">
        <f aca="false">IFERROR(MAX(FREQUENCY(IF(D11:AH11=TRUE(),COLUMN(D11:AH11)-COLUMN(D11)+1),IF(D11:AH11&lt;&gt;TRUE(),COLUMN(D11:AH11)-COLUMN(D11)+1))),0)</f>
        <v>0</v>
      </c>
      <c r="AK11" s="35" t="n">
        <f aca="false">COUNTIF(D11:AH11,TRUE())</f>
        <v>0</v>
      </c>
      <c r="AL11" s="36" t="s">
        <v>55</v>
      </c>
    </row>
    <row r="12" customFormat="false" ht="28.35" hidden="false" customHeight="false" outlineLevel="0" collapsed="false">
      <c r="A12" s="37" t="n">
        <v>10</v>
      </c>
      <c r="B12" s="25" t="s">
        <v>56</v>
      </c>
      <c r="C12" s="37" t="s">
        <v>11</v>
      </c>
      <c r="D12" s="38" t="b">
        <f aca="false">FALSE()</f>
        <v>0</v>
      </c>
      <c r="E12" s="38" t="b">
        <f aca="false">FALSE()</f>
        <v>0</v>
      </c>
      <c r="F12" s="38" t="b">
        <f aca="false">FALSE()</f>
        <v>0</v>
      </c>
      <c r="G12" s="38" t="b">
        <f aca="false">FALSE()</f>
        <v>0</v>
      </c>
      <c r="H12" s="38" t="b">
        <f aca="false">FALSE()</f>
        <v>0</v>
      </c>
      <c r="I12" s="38" t="b">
        <f aca="false">FALSE()</f>
        <v>0</v>
      </c>
      <c r="J12" s="38" t="b">
        <f aca="false">FALSE()</f>
        <v>0</v>
      </c>
      <c r="K12" s="38" t="b">
        <f aca="false">FALSE()</f>
        <v>0</v>
      </c>
      <c r="L12" s="38" t="b">
        <f aca="false">FALSE()</f>
        <v>0</v>
      </c>
      <c r="M12" s="38" t="b">
        <f aca="false">FALSE()</f>
        <v>0</v>
      </c>
      <c r="N12" s="38" t="b">
        <f aca="false">FALSE()</f>
        <v>0</v>
      </c>
      <c r="O12" s="38" t="b">
        <f aca="false">FALSE()</f>
        <v>0</v>
      </c>
      <c r="P12" s="38" t="b">
        <f aca="false">FALSE()</f>
        <v>0</v>
      </c>
      <c r="Q12" s="38" t="b">
        <f aca="false">FALSE()</f>
        <v>0</v>
      </c>
      <c r="R12" s="38" t="b">
        <f aca="false">FALSE()</f>
        <v>0</v>
      </c>
      <c r="S12" s="38" t="b">
        <f aca="false">FALSE()</f>
        <v>0</v>
      </c>
      <c r="T12" s="38" t="b">
        <f aca="false">FALSE()</f>
        <v>0</v>
      </c>
      <c r="U12" s="38" t="b">
        <f aca="false">FALSE()</f>
        <v>0</v>
      </c>
      <c r="V12" s="38" t="b">
        <f aca="false">FALSE()</f>
        <v>0</v>
      </c>
      <c r="W12" s="38" t="b">
        <f aca="false">FALSE()</f>
        <v>0</v>
      </c>
      <c r="X12" s="38" t="b">
        <f aca="false">FALSE()</f>
        <v>0</v>
      </c>
      <c r="Y12" s="38" t="b">
        <f aca="false">FALSE()</f>
        <v>0</v>
      </c>
      <c r="Z12" s="38" t="b">
        <f aca="false">FALSE()</f>
        <v>0</v>
      </c>
      <c r="AA12" s="38" t="b">
        <f aca="false">FALSE()</f>
        <v>0</v>
      </c>
      <c r="AB12" s="38" t="b">
        <f aca="false">FALSE()</f>
        <v>0</v>
      </c>
      <c r="AC12" s="38" t="b">
        <f aca="false">FALSE()</f>
        <v>0</v>
      </c>
      <c r="AD12" s="38" t="b">
        <f aca="false">FALSE()</f>
        <v>0</v>
      </c>
      <c r="AE12" s="38" t="b">
        <f aca="false">FALSE()</f>
        <v>0</v>
      </c>
      <c r="AF12" s="38" t="b">
        <f aca="false">FALSE()</f>
        <v>0</v>
      </c>
      <c r="AG12" s="38" t="b">
        <f aca="false">FALSE()</f>
        <v>0</v>
      </c>
      <c r="AH12" s="38" t="b">
        <f aca="false">FALSE()</f>
        <v>0</v>
      </c>
      <c r="AI12" s="39" t="n">
        <f aca="false">IFERROR(COUNTIF(D12:AH12,TRUE())/COUNTA(D12:AH12),0)</f>
        <v>0</v>
      </c>
      <c r="AJ12" s="40" t="n">
        <f aca="false">IFERROR(MAX(FREQUENCY(IF(D12:AH12=TRUE(),COLUMN(D12:AH12)-COLUMN(D12)+1),IF(D12:AH12&lt;&gt;TRUE(),COLUMN(D12:AH12)-COLUMN(D12)+1))),0)</f>
        <v>0</v>
      </c>
      <c r="AK12" s="40" t="n">
        <f aca="false">COUNTIF(D12:AH12,TRUE())</f>
        <v>0</v>
      </c>
      <c r="AL12" s="36" t="s">
        <v>57</v>
      </c>
    </row>
    <row r="13" customFormat="false" ht="28.35" hidden="false" customHeight="false" outlineLevel="0" collapsed="false">
      <c r="A13" s="31" t="n">
        <v>11</v>
      </c>
      <c r="B13" s="32" t="s">
        <v>58</v>
      </c>
      <c r="C13" s="31" t="s">
        <v>11</v>
      </c>
      <c r="D13" s="33" t="b">
        <f aca="false">FALSE()</f>
        <v>0</v>
      </c>
      <c r="E13" s="33" t="b">
        <f aca="false">FALSE()</f>
        <v>0</v>
      </c>
      <c r="F13" s="33" t="b">
        <f aca="false">FALSE()</f>
        <v>0</v>
      </c>
      <c r="G13" s="33" t="b">
        <f aca="false">FALSE()</f>
        <v>0</v>
      </c>
      <c r="H13" s="33" t="b">
        <f aca="false">FALSE()</f>
        <v>0</v>
      </c>
      <c r="I13" s="33" t="b">
        <f aca="false">FALSE()</f>
        <v>0</v>
      </c>
      <c r="J13" s="33" t="b">
        <f aca="false">FALSE()</f>
        <v>0</v>
      </c>
      <c r="K13" s="33" t="b">
        <f aca="false">FALSE()</f>
        <v>0</v>
      </c>
      <c r="L13" s="33" t="b">
        <f aca="false">FALSE()</f>
        <v>0</v>
      </c>
      <c r="M13" s="33" t="b">
        <f aca="false">FALSE()</f>
        <v>0</v>
      </c>
      <c r="N13" s="33" t="b">
        <f aca="false">FALSE()</f>
        <v>0</v>
      </c>
      <c r="O13" s="33" t="b">
        <f aca="false">FALSE()</f>
        <v>0</v>
      </c>
      <c r="P13" s="33" t="b">
        <f aca="false">FALSE()</f>
        <v>0</v>
      </c>
      <c r="Q13" s="33" t="b">
        <f aca="false">FALSE()</f>
        <v>0</v>
      </c>
      <c r="R13" s="33" t="b">
        <f aca="false">FALSE()</f>
        <v>0</v>
      </c>
      <c r="S13" s="33" t="b">
        <f aca="false">FALSE()</f>
        <v>0</v>
      </c>
      <c r="T13" s="33" t="b">
        <f aca="false">FALSE()</f>
        <v>0</v>
      </c>
      <c r="U13" s="33" t="b">
        <f aca="false">FALSE()</f>
        <v>0</v>
      </c>
      <c r="V13" s="33" t="b">
        <f aca="false">FALSE()</f>
        <v>0</v>
      </c>
      <c r="W13" s="33" t="b">
        <f aca="false">FALSE()</f>
        <v>0</v>
      </c>
      <c r="X13" s="33" t="b">
        <f aca="false">FALSE()</f>
        <v>0</v>
      </c>
      <c r="Y13" s="33" t="b">
        <f aca="false">FALSE()</f>
        <v>0</v>
      </c>
      <c r="Z13" s="33" t="b">
        <f aca="false">FALSE()</f>
        <v>0</v>
      </c>
      <c r="AA13" s="33" t="b">
        <f aca="false">FALSE()</f>
        <v>0</v>
      </c>
      <c r="AB13" s="33" t="b">
        <f aca="false">FALSE()</f>
        <v>0</v>
      </c>
      <c r="AC13" s="33" t="b">
        <f aca="false">FALSE()</f>
        <v>0</v>
      </c>
      <c r="AD13" s="33" t="b">
        <f aca="false">FALSE()</f>
        <v>0</v>
      </c>
      <c r="AE13" s="33" t="b">
        <f aca="false">FALSE()</f>
        <v>0</v>
      </c>
      <c r="AF13" s="33" t="b">
        <f aca="false">FALSE()</f>
        <v>0</v>
      </c>
      <c r="AG13" s="33" t="b">
        <f aca="false">FALSE()</f>
        <v>0</v>
      </c>
      <c r="AH13" s="33" t="b">
        <f aca="false">FALSE()</f>
        <v>0</v>
      </c>
      <c r="AI13" s="34" t="n">
        <f aca="false">IFERROR(COUNTIF(D13:AH13,TRUE())/COUNTA(D13:AH13),0)</f>
        <v>0</v>
      </c>
      <c r="AJ13" s="35" t="n">
        <f aca="false">IFERROR(MAX(FREQUENCY(IF(D13:AH13=TRUE(),COLUMN(D13:AH13)-COLUMN(D13)+1),IF(D13:AH13&lt;&gt;TRUE(),COLUMN(D13:AH13)-COLUMN(D13)+1))),0)</f>
        <v>0</v>
      </c>
      <c r="AK13" s="35" t="n">
        <f aca="false">COUNTIF(D13:AH13,TRUE())</f>
        <v>0</v>
      </c>
      <c r="AL13" s="36" t="s">
        <v>59</v>
      </c>
    </row>
    <row r="14" customFormat="false" ht="28.35" hidden="false" customHeight="false" outlineLevel="0" collapsed="false">
      <c r="A14" s="37" t="n">
        <v>12</v>
      </c>
      <c r="B14" s="25" t="s">
        <v>60</v>
      </c>
      <c r="C14" s="37" t="s">
        <v>11</v>
      </c>
      <c r="D14" s="38" t="b">
        <f aca="false">FALSE()</f>
        <v>0</v>
      </c>
      <c r="E14" s="38" t="b">
        <f aca="false">FALSE()</f>
        <v>0</v>
      </c>
      <c r="F14" s="38" t="b">
        <f aca="false">FALSE()</f>
        <v>0</v>
      </c>
      <c r="G14" s="38" t="b">
        <f aca="false">FALSE()</f>
        <v>0</v>
      </c>
      <c r="H14" s="38" t="b">
        <f aca="false">FALSE()</f>
        <v>0</v>
      </c>
      <c r="I14" s="38" t="b">
        <f aca="false">FALSE()</f>
        <v>0</v>
      </c>
      <c r="J14" s="38" t="b">
        <f aca="false">FALSE()</f>
        <v>0</v>
      </c>
      <c r="K14" s="38" t="b">
        <f aca="false">FALSE()</f>
        <v>0</v>
      </c>
      <c r="L14" s="38" t="b">
        <f aca="false">FALSE()</f>
        <v>0</v>
      </c>
      <c r="M14" s="38" t="b">
        <f aca="false">FALSE()</f>
        <v>0</v>
      </c>
      <c r="N14" s="38" t="b">
        <f aca="false">FALSE()</f>
        <v>0</v>
      </c>
      <c r="O14" s="38" t="b">
        <f aca="false">FALSE()</f>
        <v>0</v>
      </c>
      <c r="P14" s="38" t="b">
        <f aca="false">FALSE()</f>
        <v>0</v>
      </c>
      <c r="Q14" s="38" t="b">
        <f aca="false">FALSE()</f>
        <v>0</v>
      </c>
      <c r="R14" s="38" t="b">
        <f aca="false">FALSE()</f>
        <v>0</v>
      </c>
      <c r="S14" s="38" t="b">
        <f aca="false">FALSE()</f>
        <v>0</v>
      </c>
      <c r="T14" s="38" t="b">
        <f aca="false">FALSE()</f>
        <v>0</v>
      </c>
      <c r="U14" s="38" t="b">
        <f aca="false">FALSE()</f>
        <v>0</v>
      </c>
      <c r="V14" s="38" t="b">
        <f aca="false">FALSE()</f>
        <v>0</v>
      </c>
      <c r="W14" s="38" t="b">
        <f aca="false">FALSE()</f>
        <v>0</v>
      </c>
      <c r="X14" s="38" t="b">
        <f aca="false">FALSE()</f>
        <v>0</v>
      </c>
      <c r="Y14" s="38" t="b">
        <f aca="false">FALSE()</f>
        <v>0</v>
      </c>
      <c r="Z14" s="38" t="b">
        <f aca="false">FALSE()</f>
        <v>0</v>
      </c>
      <c r="AA14" s="38" t="b">
        <f aca="false">FALSE()</f>
        <v>0</v>
      </c>
      <c r="AB14" s="38" t="b">
        <f aca="false">FALSE()</f>
        <v>0</v>
      </c>
      <c r="AC14" s="38" t="b">
        <f aca="false">FALSE()</f>
        <v>0</v>
      </c>
      <c r="AD14" s="38" t="b">
        <f aca="false">FALSE()</f>
        <v>0</v>
      </c>
      <c r="AE14" s="38" t="b">
        <f aca="false">FALSE()</f>
        <v>0</v>
      </c>
      <c r="AF14" s="38" t="b">
        <f aca="false">FALSE()</f>
        <v>0</v>
      </c>
      <c r="AG14" s="38" t="b">
        <f aca="false">FALSE()</f>
        <v>0</v>
      </c>
      <c r="AH14" s="38" t="b">
        <f aca="false">FALSE()</f>
        <v>0</v>
      </c>
      <c r="AI14" s="39" t="n">
        <f aca="false">IFERROR(COUNTIF(D14:AH14,TRUE())/COUNTA(D14:AH14),0)</f>
        <v>0</v>
      </c>
      <c r="AJ14" s="40" t="n">
        <f aca="false">IFERROR(MAX(FREQUENCY(IF(D14:AH14=TRUE(),COLUMN(D14:AH14)-COLUMN(D14)+1),IF(D14:AH14&lt;&gt;TRUE(),COLUMN(D14:AH14)-COLUMN(D14)+1))),0)</f>
        <v>0</v>
      </c>
      <c r="AK14" s="40" t="n">
        <f aca="false">COUNTIF(D14:AH14,TRUE())</f>
        <v>0</v>
      </c>
      <c r="AL14" s="36" t="s">
        <v>61</v>
      </c>
    </row>
    <row r="15" customFormat="false" ht="28.35" hidden="false" customHeight="false" outlineLevel="0" collapsed="false">
      <c r="A15" s="31" t="n">
        <v>13</v>
      </c>
      <c r="B15" s="32" t="s">
        <v>62</v>
      </c>
      <c r="C15" s="31" t="s">
        <v>11</v>
      </c>
      <c r="D15" s="33" t="b">
        <f aca="false">FALSE()</f>
        <v>0</v>
      </c>
      <c r="E15" s="33" t="b">
        <f aca="false">FALSE()</f>
        <v>0</v>
      </c>
      <c r="F15" s="33" t="b">
        <f aca="false">FALSE()</f>
        <v>0</v>
      </c>
      <c r="G15" s="33" t="b">
        <f aca="false">FALSE()</f>
        <v>0</v>
      </c>
      <c r="H15" s="33" t="b">
        <f aca="false">FALSE()</f>
        <v>0</v>
      </c>
      <c r="I15" s="33" t="b">
        <f aca="false">FALSE()</f>
        <v>0</v>
      </c>
      <c r="J15" s="33" t="b">
        <f aca="false">FALSE()</f>
        <v>0</v>
      </c>
      <c r="K15" s="33" t="b">
        <f aca="false">FALSE()</f>
        <v>0</v>
      </c>
      <c r="L15" s="33" t="b">
        <f aca="false">FALSE()</f>
        <v>0</v>
      </c>
      <c r="M15" s="33" t="b">
        <f aca="false">FALSE()</f>
        <v>0</v>
      </c>
      <c r="N15" s="33" t="b">
        <f aca="false">FALSE()</f>
        <v>0</v>
      </c>
      <c r="O15" s="33" t="b">
        <f aca="false">FALSE()</f>
        <v>0</v>
      </c>
      <c r="P15" s="33" t="b">
        <f aca="false">FALSE()</f>
        <v>0</v>
      </c>
      <c r="Q15" s="33" t="b">
        <f aca="false">FALSE()</f>
        <v>0</v>
      </c>
      <c r="R15" s="33" t="b">
        <f aca="false">FALSE()</f>
        <v>0</v>
      </c>
      <c r="S15" s="33" t="b">
        <f aca="false">FALSE()</f>
        <v>0</v>
      </c>
      <c r="T15" s="33" t="b">
        <f aca="false">FALSE()</f>
        <v>0</v>
      </c>
      <c r="U15" s="33" t="b">
        <f aca="false">FALSE()</f>
        <v>0</v>
      </c>
      <c r="V15" s="33" t="b">
        <f aca="false">FALSE()</f>
        <v>0</v>
      </c>
      <c r="W15" s="33" t="b">
        <f aca="false">FALSE()</f>
        <v>0</v>
      </c>
      <c r="X15" s="33" t="b">
        <f aca="false">FALSE()</f>
        <v>0</v>
      </c>
      <c r="Y15" s="33" t="b">
        <f aca="false">FALSE()</f>
        <v>0</v>
      </c>
      <c r="Z15" s="33" t="b">
        <f aca="false">FALSE()</f>
        <v>0</v>
      </c>
      <c r="AA15" s="33" t="b">
        <f aca="false">FALSE()</f>
        <v>0</v>
      </c>
      <c r="AB15" s="33" t="b">
        <f aca="false">FALSE()</f>
        <v>0</v>
      </c>
      <c r="AC15" s="33" t="b">
        <f aca="false">FALSE()</f>
        <v>0</v>
      </c>
      <c r="AD15" s="33" t="b">
        <f aca="false">FALSE()</f>
        <v>0</v>
      </c>
      <c r="AE15" s="33" t="b">
        <f aca="false">FALSE()</f>
        <v>0</v>
      </c>
      <c r="AF15" s="33" t="b">
        <f aca="false">FALSE()</f>
        <v>0</v>
      </c>
      <c r="AG15" s="33" t="b">
        <f aca="false">FALSE()</f>
        <v>0</v>
      </c>
      <c r="AH15" s="33" t="b">
        <f aca="false">FALSE()</f>
        <v>0</v>
      </c>
      <c r="AI15" s="34" t="n">
        <f aca="false">IFERROR(COUNTIF(D15:AH15,TRUE())/COUNTA(D15:AH15),0)</f>
        <v>0</v>
      </c>
      <c r="AJ15" s="35" t="n">
        <f aca="false">IFERROR(MAX(FREQUENCY(IF(D15:AH15=TRUE(),COLUMN(D15:AH15)-COLUMN(D15)+1),IF(D15:AH15&lt;&gt;TRUE(),COLUMN(D15:AH15)-COLUMN(D15)+1))),0)</f>
        <v>0</v>
      </c>
      <c r="AK15" s="35" t="n">
        <f aca="false">COUNTIF(D15:AH15,TRUE())</f>
        <v>0</v>
      </c>
      <c r="AL15" s="36" t="s">
        <v>63</v>
      </c>
    </row>
    <row r="16" customFormat="false" ht="28.35" hidden="false" customHeight="false" outlineLevel="0" collapsed="false">
      <c r="A16" s="37" t="n">
        <v>14</v>
      </c>
      <c r="B16" s="25" t="s">
        <v>64</v>
      </c>
      <c r="C16" s="37" t="s">
        <v>8</v>
      </c>
      <c r="D16" s="38" t="b">
        <f aca="false">FALSE()</f>
        <v>0</v>
      </c>
      <c r="E16" s="38" t="b">
        <f aca="false">FALSE()</f>
        <v>0</v>
      </c>
      <c r="F16" s="38" t="b">
        <f aca="false">FALSE()</f>
        <v>0</v>
      </c>
      <c r="G16" s="38" t="b">
        <f aca="false">FALSE()</f>
        <v>0</v>
      </c>
      <c r="H16" s="38" t="b">
        <f aca="false">FALSE()</f>
        <v>0</v>
      </c>
      <c r="I16" s="38" t="b">
        <f aca="false">FALSE()</f>
        <v>0</v>
      </c>
      <c r="J16" s="38" t="b">
        <f aca="false">FALSE()</f>
        <v>0</v>
      </c>
      <c r="K16" s="38" t="b">
        <f aca="false">FALSE()</f>
        <v>0</v>
      </c>
      <c r="L16" s="38" t="b">
        <f aca="false">FALSE()</f>
        <v>0</v>
      </c>
      <c r="M16" s="38" t="b">
        <f aca="false">FALSE()</f>
        <v>0</v>
      </c>
      <c r="N16" s="38" t="b">
        <f aca="false">FALSE()</f>
        <v>0</v>
      </c>
      <c r="O16" s="38" t="b">
        <f aca="false">FALSE()</f>
        <v>0</v>
      </c>
      <c r="P16" s="38" t="b">
        <f aca="false">FALSE()</f>
        <v>0</v>
      </c>
      <c r="Q16" s="38" t="b">
        <f aca="false">FALSE()</f>
        <v>0</v>
      </c>
      <c r="R16" s="38" t="b">
        <f aca="false">FALSE()</f>
        <v>0</v>
      </c>
      <c r="S16" s="38" t="b">
        <f aca="false">FALSE()</f>
        <v>0</v>
      </c>
      <c r="T16" s="38" t="b">
        <f aca="false">FALSE()</f>
        <v>0</v>
      </c>
      <c r="U16" s="38" t="b">
        <f aca="false">FALSE()</f>
        <v>0</v>
      </c>
      <c r="V16" s="38" t="b">
        <f aca="false">FALSE()</f>
        <v>0</v>
      </c>
      <c r="W16" s="38" t="b">
        <f aca="false">FALSE()</f>
        <v>0</v>
      </c>
      <c r="X16" s="38" t="b">
        <f aca="false">FALSE()</f>
        <v>0</v>
      </c>
      <c r="Y16" s="38" t="b">
        <f aca="false">FALSE()</f>
        <v>0</v>
      </c>
      <c r="Z16" s="38" t="b">
        <f aca="false">FALSE()</f>
        <v>0</v>
      </c>
      <c r="AA16" s="38" t="b">
        <f aca="false">FALSE()</f>
        <v>0</v>
      </c>
      <c r="AB16" s="38" t="b">
        <f aca="false">FALSE()</f>
        <v>0</v>
      </c>
      <c r="AC16" s="38" t="b">
        <f aca="false">FALSE()</f>
        <v>0</v>
      </c>
      <c r="AD16" s="38" t="b">
        <f aca="false">FALSE()</f>
        <v>0</v>
      </c>
      <c r="AE16" s="38" t="b">
        <f aca="false">FALSE()</f>
        <v>0</v>
      </c>
      <c r="AF16" s="38" t="b">
        <f aca="false">FALSE()</f>
        <v>0</v>
      </c>
      <c r="AG16" s="38" t="b">
        <f aca="false">FALSE()</f>
        <v>0</v>
      </c>
      <c r="AH16" s="38" t="b">
        <f aca="false">FALSE()</f>
        <v>0</v>
      </c>
      <c r="AI16" s="39" t="n">
        <f aca="false">IFERROR(COUNTIF(D16:AH16,TRUE())/COUNTA(D16:AH16),0)</f>
        <v>0</v>
      </c>
      <c r="AJ16" s="40" t="n">
        <f aca="false">IFERROR(MAX(FREQUENCY(IF(D16:AH16=TRUE(),COLUMN(D16:AH16)-COLUMN(D16)+1),IF(D16:AH16&lt;&gt;TRUE(),COLUMN(D16:AH16)-COLUMN(D16)+1))),0)</f>
        <v>0</v>
      </c>
      <c r="AK16" s="40" t="n">
        <f aca="false">COUNTIF(D16:AH16,TRUE())</f>
        <v>0</v>
      </c>
      <c r="AL16" s="36" t="s">
        <v>65</v>
      </c>
    </row>
    <row r="17" customFormat="false" ht="28.35" hidden="false" customHeight="false" outlineLevel="0" collapsed="false">
      <c r="A17" s="31" t="n">
        <v>15</v>
      </c>
      <c r="B17" s="32" t="s">
        <v>66</v>
      </c>
      <c r="C17" s="31" t="s">
        <v>8</v>
      </c>
      <c r="D17" s="33" t="b">
        <f aca="false">FALSE()</f>
        <v>0</v>
      </c>
      <c r="E17" s="33" t="b">
        <f aca="false">FALSE()</f>
        <v>0</v>
      </c>
      <c r="F17" s="33" t="b">
        <f aca="false">FALSE()</f>
        <v>0</v>
      </c>
      <c r="G17" s="33" t="b">
        <f aca="false">FALSE()</f>
        <v>0</v>
      </c>
      <c r="H17" s="33" t="b">
        <f aca="false">FALSE()</f>
        <v>0</v>
      </c>
      <c r="I17" s="33" t="b">
        <f aca="false">FALSE()</f>
        <v>0</v>
      </c>
      <c r="J17" s="33" t="b">
        <f aca="false">FALSE()</f>
        <v>0</v>
      </c>
      <c r="K17" s="33" t="b">
        <f aca="false">FALSE()</f>
        <v>0</v>
      </c>
      <c r="L17" s="33" t="b">
        <f aca="false">FALSE()</f>
        <v>0</v>
      </c>
      <c r="M17" s="33" t="b">
        <f aca="false">FALSE()</f>
        <v>0</v>
      </c>
      <c r="N17" s="33" t="b">
        <f aca="false">FALSE()</f>
        <v>0</v>
      </c>
      <c r="O17" s="33" t="b">
        <f aca="false">FALSE()</f>
        <v>0</v>
      </c>
      <c r="P17" s="33" t="b">
        <f aca="false">FALSE()</f>
        <v>0</v>
      </c>
      <c r="Q17" s="33" t="b">
        <f aca="false">FALSE()</f>
        <v>0</v>
      </c>
      <c r="R17" s="33" t="b">
        <f aca="false">FALSE()</f>
        <v>0</v>
      </c>
      <c r="S17" s="33" t="b">
        <f aca="false">FALSE()</f>
        <v>0</v>
      </c>
      <c r="T17" s="33" t="b">
        <f aca="false">FALSE()</f>
        <v>0</v>
      </c>
      <c r="U17" s="33" t="b">
        <f aca="false">FALSE()</f>
        <v>0</v>
      </c>
      <c r="V17" s="33" t="b">
        <f aca="false">FALSE()</f>
        <v>0</v>
      </c>
      <c r="W17" s="33" t="b">
        <f aca="false">FALSE()</f>
        <v>0</v>
      </c>
      <c r="X17" s="33" t="b">
        <f aca="false">FALSE()</f>
        <v>0</v>
      </c>
      <c r="Y17" s="33" t="b">
        <f aca="false">FALSE()</f>
        <v>0</v>
      </c>
      <c r="Z17" s="33" t="b">
        <f aca="false">FALSE()</f>
        <v>0</v>
      </c>
      <c r="AA17" s="33" t="b">
        <f aca="false">FALSE()</f>
        <v>0</v>
      </c>
      <c r="AB17" s="33" t="b">
        <f aca="false">FALSE()</f>
        <v>0</v>
      </c>
      <c r="AC17" s="33" t="b">
        <f aca="false">FALSE()</f>
        <v>0</v>
      </c>
      <c r="AD17" s="33" t="b">
        <f aca="false">FALSE()</f>
        <v>0</v>
      </c>
      <c r="AE17" s="33" t="b">
        <f aca="false">FALSE()</f>
        <v>0</v>
      </c>
      <c r="AF17" s="33" t="b">
        <f aca="false">FALSE()</f>
        <v>0</v>
      </c>
      <c r="AG17" s="33" t="b">
        <f aca="false">FALSE()</f>
        <v>0</v>
      </c>
      <c r="AH17" s="33" t="b">
        <f aca="false">FALSE()</f>
        <v>0</v>
      </c>
      <c r="AI17" s="34" t="n">
        <f aca="false">IFERROR(COUNTIF(D17:AH17,TRUE())/COUNTA(D17:AH17),0)</f>
        <v>0</v>
      </c>
      <c r="AJ17" s="35" t="n">
        <f aca="false">IFERROR(MAX(FREQUENCY(IF(D17:AH17=TRUE(),COLUMN(D17:AH17)-COLUMN(D17)+1),IF(D17:AH17&lt;&gt;TRUE(),COLUMN(D17:AH17)-COLUMN(D17)+1))),0)</f>
        <v>0</v>
      </c>
      <c r="AK17" s="35" t="n">
        <f aca="false">COUNTIF(D17:AH17,TRUE())</f>
        <v>0</v>
      </c>
      <c r="AL17" s="36" t="s">
        <v>67</v>
      </c>
    </row>
    <row r="18" customFormat="false" ht="28.35" hidden="false" customHeight="false" outlineLevel="0" collapsed="false">
      <c r="A18" s="37" t="n">
        <v>16</v>
      </c>
      <c r="B18" s="25" t="s">
        <v>68</v>
      </c>
      <c r="C18" s="37" t="s">
        <v>8</v>
      </c>
      <c r="D18" s="38" t="b">
        <f aca="false">FALSE()</f>
        <v>0</v>
      </c>
      <c r="E18" s="38" t="b">
        <f aca="false">FALSE()</f>
        <v>0</v>
      </c>
      <c r="F18" s="38" t="b">
        <f aca="false">FALSE()</f>
        <v>0</v>
      </c>
      <c r="G18" s="38" t="b">
        <f aca="false">FALSE()</f>
        <v>0</v>
      </c>
      <c r="H18" s="38" t="b">
        <f aca="false">FALSE()</f>
        <v>0</v>
      </c>
      <c r="I18" s="38" t="b">
        <f aca="false">FALSE()</f>
        <v>0</v>
      </c>
      <c r="J18" s="38" t="b">
        <f aca="false">FALSE()</f>
        <v>0</v>
      </c>
      <c r="K18" s="38" t="b">
        <f aca="false">FALSE()</f>
        <v>0</v>
      </c>
      <c r="L18" s="38" t="b">
        <f aca="false">FALSE()</f>
        <v>0</v>
      </c>
      <c r="M18" s="38" t="b">
        <f aca="false">FALSE()</f>
        <v>0</v>
      </c>
      <c r="N18" s="38" t="b">
        <f aca="false">FALSE()</f>
        <v>0</v>
      </c>
      <c r="O18" s="38" t="b">
        <f aca="false">FALSE()</f>
        <v>0</v>
      </c>
      <c r="P18" s="38" t="b">
        <f aca="false">FALSE()</f>
        <v>0</v>
      </c>
      <c r="Q18" s="38" t="b">
        <f aca="false">FALSE()</f>
        <v>0</v>
      </c>
      <c r="R18" s="38" t="b">
        <f aca="false">FALSE()</f>
        <v>0</v>
      </c>
      <c r="S18" s="38" t="b">
        <f aca="false">FALSE()</f>
        <v>0</v>
      </c>
      <c r="T18" s="38" t="b">
        <f aca="false">FALSE()</f>
        <v>0</v>
      </c>
      <c r="U18" s="38" t="b">
        <f aca="false">FALSE()</f>
        <v>0</v>
      </c>
      <c r="V18" s="38" t="b">
        <f aca="false">FALSE()</f>
        <v>0</v>
      </c>
      <c r="W18" s="38" t="b">
        <f aca="false">FALSE()</f>
        <v>0</v>
      </c>
      <c r="X18" s="38" t="b">
        <f aca="false">FALSE()</f>
        <v>0</v>
      </c>
      <c r="Y18" s="38" t="b">
        <f aca="false">FALSE()</f>
        <v>0</v>
      </c>
      <c r="Z18" s="38" t="b">
        <f aca="false">FALSE()</f>
        <v>0</v>
      </c>
      <c r="AA18" s="38" t="b">
        <f aca="false">FALSE()</f>
        <v>0</v>
      </c>
      <c r="AB18" s="38" t="b">
        <f aca="false">FALSE()</f>
        <v>0</v>
      </c>
      <c r="AC18" s="38" t="b">
        <f aca="false">FALSE()</f>
        <v>0</v>
      </c>
      <c r="AD18" s="38" t="b">
        <f aca="false">FALSE()</f>
        <v>0</v>
      </c>
      <c r="AE18" s="38" t="b">
        <f aca="false">FALSE()</f>
        <v>0</v>
      </c>
      <c r="AF18" s="38" t="b">
        <f aca="false">FALSE()</f>
        <v>0</v>
      </c>
      <c r="AG18" s="38" t="b">
        <f aca="false">FALSE()</f>
        <v>0</v>
      </c>
      <c r="AH18" s="38" t="b">
        <f aca="false">FALSE()</f>
        <v>0</v>
      </c>
      <c r="AI18" s="39" t="n">
        <f aca="false">IFERROR(COUNTIF(D18:AH18,TRUE())/COUNTA(D18:AH18),0)</f>
        <v>0</v>
      </c>
      <c r="AJ18" s="40" t="n">
        <f aca="false">IFERROR(MAX(FREQUENCY(IF(D18:AH18=TRUE(),COLUMN(D18:AH18)-COLUMN(D18)+1),IF(D18:AH18&lt;&gt;TRUE(),COLUMN(D18:AH18)-COLUMN(D18)+1))),0)</f>
        <v>0</v>
      </c>
      <c r="AK18" s="40" t="n">
        <f aca="false">COUNTIF(D18:AH18,TRUE())</f>
        <v>0</v>
      </c>
      <c r="AL18" s="36" t="s">
        <v>69</v>
      </c>
    </row>
    <row r="19" customFormat="false" ht="28.35" hidden="false" customHeight="false" outlineLevel="0" collapsed="false">
      <c r="A19" s="31" t="n">
        <v>17</v>
      </c>
      <c r="B19" s="32" t="s">
        <v>70</v>
      </c>
      <c r="C19" s="31" t="s">
        <v>8</v>
      </c>
      <c r="D19" s="33" t="b">
        <f aca="false">FALSE()</f>
        <v>0</v>
      </c>
      <c r="E19" s="33" t="b">
        <f aca="false">FALSE()</f>
        <v>0</v>
      </c>
      <c r="F19" s="33" t="b">
        <f aca="false">FALSE()</f>
        <v>0</v>
      </c>
      <c r="G19" s="33" t="b">
        <f aca="false">FALSE()</f>
        <v>0</v>
      </c>
      <c r="H19" s="33" t="b">
        <f aca="false">FALSE()</f>
        <v>0</v>
      </c>
      <c r="I19" s="33" t="b">
        <f aca="false">FALSE()</f>
        <v>0</v>
      </c>
      <c r="J19" s="33" t="b">
        <f aca="false">FALSE()</f>
        <v>0</v>
      </c>
      <c r="K19" s="33" t="b">
        <f aca="false">FALSE()</f>
        <v>0</v>
      </c>
      <c r="L19" s="33" t="b">
        <f aca="false">FALSE()</f>
        <v>0</v>
      </c>
      <c r="M19" s="33" t="b">
        <f aca="false">FALSE()</f>
        <v>0</v>
      </c>
      <c r="N19" s="33" t="b">
        <f aca="false">FALSE()</f>
        <v>0</v>
      </c>
      <c r="O19" s="33" t="b">
        <f aca="false">FALSE()</f>
        <v>0</v>
      </c>
      <c r="P19" s="33" t="b">
        <f aca="false">FALSE()</f>
        <v>0</v>
      </c>
      <c r="Q19" s="33" t="b">
        <f aca="false">FALSE()</f>
        <v>0</v>
      </c>
      <c r="R19" s="33" t="b">
        <f aca="false">FALSE()</f>
        <v>0</v>
      </c>
      <c r="S19" s="33" t="b">
        <f aca="false">FALSE()</f>
        <v>0</v>
      </c>
      <c r="T19" s="33" t="b">
        <f aca="false">FALSE()</f>
        <v>0</v>
      </c>
      <c r="U19" s="33" t="b">
        <f aca="false">FALSE()</f>
        <v>0</v>
      </c>
      <c r="V19" s="33" t="b">
        <f aca="false">FALSE()</f>
        <v>0</v>
      </c>
      <c r="W19" s="33" t="b">
        <f aca="false">FALSE()</f>
        <v>0</v>
      </c>
      <c r="X19" s="33" t="b">
        <f aca="false">FALSE()</f>
        <v>0</v>
      </c>
      <c r="Y19" s="33" t="b">
        <f aca="false">FALSE()</f>
        <v>0</v>
      </c>
      <c r="Z19" s="33" t="b">
        <f aca="false">FALSE()</f>
        <v>0</v>
      </c>
      <c r="AA19" s="33" t="b">
        <f aca="false">FALSE()</f>
        <v>0</v>
      </c>
      <c r="AB19" s="33" t="b">
        <f aca="false">FALSE()</f>
        <v>0</v>
      </c>
      <c r="AC19" s="33" t="b">
        <f aca="false">FALSE()</f>
        <v>0</v>
      </c>
      <c r="AD19" s="33" t="b">
        <f aca="false">FALSE()</f>
        <v>0</v>
      </c>
      <c r="AE19" s="33" t="b">
        <f aca="false">FALSE()</f>
        <v>0</v>
      </c>
      <c r="AF19" s="33" t="b">
        <f aca="false">FALSE()</f>
        <v>0</v>
      </c>
      <c r="AG19" s="33" t="b">
        <f aca="false">FALSE()</f>
        <v>0</v>
      </c>
      <c r="AH19" s="33" t="b">
        <f aca="false">FALSE()</f>
        <v>0</v>
      </c>
      <c r="AI19" s="34" t="n">
        <f aca="false">IFERROR(COUNTIF(D19:AH19,TRUE())/COUNTA(D19:AH19),0)</f>
        <v>0</v>
      </c>
      <c r="AJ19" s="35" t="n">
        <f aca="false">IFERROR(MAX(FREQUENCY(IF(D19:AH19=TRUE(),COLUMN(D19:AH19)-COLUMN(D19)+1),IF(D19:AH19&lt;&gt;TRUE(),COLUMN(D19:AH19)-COLUMN(D19)+1))),0)</f>
        <v>0</v>
      </c>
      <c r="AK19" s="35" t="n">
        <f aca="false">COUNTIF(D19:AH19,TRUE())</f>
        <v>0</v>
      </c>
      <c r="AL19" s="36" t="s">
        <v>71</v>
      </c>
    </row>
    <row r="20" customFormat="false" ht="28.35" hidden="false" customHeight="false" outlineLevel="0" collapsed="false">
      <c r="A20" s="37" t="n">
        <v>18</v>
      </c>
      <c r="B20" s="25" t="s">
        <v>72</v>
      </c>
      <c r="C20" s="37" t="s">
        <v>8</v>
      </c>
      <c r="D20" s="38" t="b">
        <f aca="false">FALSE()</f>
        <v>0</v>
      </c>
      <c r="E20" s="38" t="b">
        <f aca="false">FALSE()</f>
        <v>0</v>
      </c>
      <c r="F20" s="38" t="b">
        <f aca="false">FALSE()</f>
        <v>0</v>
      </c>
      <c r="G20" s="38" t="b">
        <f aca="false">FALSE()</f>
        <v>0</v>
      </c>
      <c r="H20" s="38" t="b">
        <f aca="false">FALSE()</f>
        <v>0</v>
      </c>
      <c r="I20" s="38" t="b">
        <f aca="false">FALSE()</f>
        <v>0</v>
      </c>
      <c r="J20" s="38" t="b">
        <f aca="false">FALSE()</f>
        <v>0</v>
      </c>
      <c r="K20" s="38" t="b">
        <f aca="false">FALSE()</f>
        <v>0</v>
      </c>
      <c r="L20" s="38" t="b">
        <f aca="false">FALSE()</f>
        <v>0</v>
      </c>
      <c r="M20" s="38" t="b">
        <f aca="false">FALSE()</f>
        <v>0</v>
      </c>
      <c r="N20" s="38" t="b">
        <f aca="false">FALSE()</f>
        <v>0</v>
      </c>
      <c r="O20" s="38" t="b">
        <f aca="false">FALSE()</f>
        <v>0</v>
      </c>
      <c r="P20" s="38" t="b">
        <f aca="false">FALSE()</f>
        <v>0</v>
      </c>
      <c r="Q20" s="38" t="b">
        <f aca="false">FALSE()</f>
        <v>0</v>
      </c>
      <c r="R20" s="38" t="b">
        <f aca="false">FALSE()</f>
        <v>0</v>
      </c>
      <c r="S20" s="38" t="b">
        <f aca="false">FALSE()</f>
        <v>0</v>
      </c>
      <c r="T20" s="38" t="b">
        <f aca="false">FALSE()</f>
        <v>0</v>
      </c>
      <c r="U20" s="38" t="b">
        <f aca="false">FALSE()</f>
        <v>0</v>
      </c>
      <c r="V20" s="38" t="b">
        <f aca="false">FALSE()</f>
        <v>0</v>
      </c>
      <c r="W20" s="38" t="b">
        <f aca="false">FALSE()</f>
        <v>0</v>
      </c>
      <c r="X20" s="38" t="b">
        <f aca="false">FALSE()</f>
        <v>0</v>
      </c>
      <c r="Y20" s="38" t="b">
        <f aca="false">FALSE()</f>
        <v>0</v>
      </c>
      <c r="Z20" s="38" t="b">
        <f aca="false">FALSE()</f>
        <v>0</v>
      </c>
      <c r="AA20" s="38" t="b">
        <f aca="false">FALSE()</f>
        <v>0</v>
      </c>
      <c r="AB20" s="38" t="b">
        <f aca="false">FALSE()</f>
        <v>0</v>
      </c>
      <c r="AC20" s="38" t="b">
        <f aca="false">FALSE()</f>
        <v>0</v>
      </c>
      <c r="AD20" s="38" t="b">
        <f aca="false">FALSE()</f>
        <v>0</v>
      </c>
      <c r="AE20" s="38" t="b">
        <f aca="false">FALSE()</f>
        <v>0</v>
      </c>
      <c r="AF20" s="38" t="b">
        <f aca="false">FALSE()</f>
        <v>0</v>
      </c>
      <c r="AG20" s="38" t="b">
        <f aca="false">FALSE()</f>
        <v>0</v>
      </c>
      <c r="AH20" s="38" t="b">
        <f aca="false">FALSE()</f>
        <v>0</v>
      </c>
      <c r="AI20" s="39" t="n">
        <f aca="false">IFERROR(COUNTIF(D20:AH20,TRUE())/COUNTA(D20:AH20),0)</f>
        <v>0</v>
      </c>
      <c r="AJ20" s="40" t="n">
        <f aca="false">IFERROR(MAX(FREQUENCY(IF(D20:AH20=TRUE(),COLUMN(D20:AH20)-COLUMN(D20)+1),IF(D20:AH20&lt;&gt;TRUE(),COLUMN(D20:AH20)-COLUMN(D20)+1))),0)</f>
        <v>0</v>
      </c>
      <c r="AK20" s="40" t="n">
        <f aca="false">COUNTIF(D20:AH20,TRUE())</f>
        <v>0</v>
      </c>
      <c r="AL20" s="36" t="s">
        <v>73</v>
      </c>
    </row>
    <row r="21" customFormat="false" ht="28.35" hidden="false" customHeight="false" outlineLevel="0" collapsed="false">
      <c r="A21" s="31" t="n">
        <v>19</v>
      </c>
      <c r="B21" s="32" t="s">
        <v>74</v>
      </c>
      <c r="C21" s="31" t="s">
        <v>8</v>
      </c>
      <c r="D21" s="33" t="b">
        <f aca="false">FALSE()</f>
        <v>0</v>
      </c>
      <c r="E21" s="33" t="b">
        <f aca="false">FALSE()</f>
        <v>0</v>
      </c>
      <c r="F21" s="33" t="b">
        <f aca="false">FALSE()</f>
        <v>0</v>
      </c>
      <c r="G21" s="33" t="b">
        <f aca="false">FALSE()</f>
        <v>0</v>
      </c>
      <c r="H21" s="33" t="b">
        <f aca="false">FALSE()</f>
        <v>0</v>
      </c>
      <c r="I21" s="33" t="b">
        <f aca="false">FALSE()</f>
        <v>0</v>
      </c>
      <c r="J21" s="33" t="b">
        <f aca="false">FALSE()</f>
        <v>0</v>
      </c>
      <c r="K21" s="33" t="b">
        <f aca="false">FALSE()</f>
        <v>0</v>
      </c>
      <c r="L21" s="33" t="b">
        <f aca="false">FALSE()</f>
        <v>0</v>
      </c>
      <c r="M21" s="33" t="b">
        <f aca="false">FALSE()</f>
        <v>0</v>
      </c>
      <c r="N21" s="33" t="b">
        <f aca="false">FALSE()</f>
        <v>0</v>
      </c>
      <c r="O21" s="33" t="b">
        <f aca="false">FALSE()</f>
        <v>0</v>
      </c>
      <c r="P21" s="33" t="b">
        <f aca="false">FALSE()</f>
        <v>0</v>
      </c>
      <c r="Q21" s="33" t="b">
        <f aca="false">FALSE()</f>
        <v>0</v>
      </c>
      <c r="R21" s="33" t="b">
        <f aca="false">FALSE()</f>
        <v>0</v>
      </c>
      <c r="S21" s="33" t="b">
        <f aca="false">FALSE()</f>
        <v>0</v>
      </c>
      <c r="T21" s="33" t="b">
        <f aca="false">FALSE()</f>
        <v>0</v>
      </c>
      <c r="U21" s="33" t="b">
        <f aca="false">FALSE()</f>
        <v>0</v>
      </c>
      <c r="V21" s="33" t="b">
        <f aca="false">FALSE()</f>
        <v>0</v>
      </c>
      <c r="W21" s="33" t="b">
        <f aca="false">FALSE()</f>
        <v>0</v>
      </c>
      <c r="X21" s="33" t="b">
        <f aca="false">FALSE()</f>
        <v>0</v>
      </c>
      <c r="Y21" s="33" t="b">
        <f aca="false">FALSE()</f>
        <v>0</v>
      </c>
      <c r="Z21" s="33" t="b">
        <f aca="false">FALSE()</f>
        <v>0</v>
      </c>
      <c r="AA21" s="33" t="b">
        <f aca="false">FALSE()</f>
        <v>0</v>
      </c>
      <c r="AB21" s="33" t="b">
        <f aca="false">FALSE()</f>
        <v>0</v>
      </c>
      <c r="AC21" s="33" t="b">
        <f aca="false">FALSE()</f>
        <v>0</v>
      </c>
      <c r="AD21" s="33" t="b">
        <f aca="false">FALSE()</f>
        <v>0</v>
      </c>
      <c r="AE21" s="33" t="b">
        <f aca="false">FALSE()</f>
        <v>0</v>
      </c>
      <c r="AF21" s="33" t="b">
        <f aca="false">FALSE()</f>
        <v>0</v>
      </c>
      <c r="AG21" s="33" t="b">
        <f aca="false">FALSE()</f>
        <v>0</v>
      </c>
      <c r="AH21" s="33" t="b">
        <f aca="false">FALSE()</f>
        <v>0</v>
      </c>
      <c r="AI21" s="34" t="n">
        <f aca="false">IFERROR(COUNTIF(D21:AH21,TRUE())/COUNTA(D21:AH21),0)</f>
        <v>0</v>
      </c>
      <c r="AJ21" s="35" t="n">
        <f aca="false">IFERROR(MAX(FREQUENCY(IF(D21:AH21=TRUE(),COLUMN(D21:AH21)-COLUMN(D21)+1),IF(D21:AH21&lt;&gt;TRUE(),COLUMN(D21:AH21)-COLUMN(D21)+1))),0)</f>
        <v>0</v>
      </c>
      <c r="AK21" s="35" t="n">
        <f aca="false">COUNTIF(D21:AH21,TRUE())</f>
        <v>0</v>
      </c>
      <c r="AL21" s="36" t="s">
        <v>75</v>
      </c>
    </row>
    <row r="22" customFormat="false" ht="28.35" hidden="false" customHeight="false" outlineLevel="0" collapsed="false">
      <c r="A22" s="37" t="n">
        <v>20</v>
      </c>
      <c r="B22" s="25" t="s">
        <v>76</v>
      </c>
      <c r="C22" s="37" t="s">
        <v>8</v>
      </c>
      <c r="D22" s="38" t="b">
        <f aca="false">FALSE()</f>
        <v>0</v>
      </c>
      <c r="E22" s="38" t="b">
        <f aca="false">FALSE()</f>
        <v>0</v>
      </c>
      <c r="F22" s="38" t="b">
        <f aca="false">FALSE()</f>
        <v>0</v>
      </c>
      <c r="G22" s="38" t="b">
        <f aca="false">FALSE()</f>
        <v>0</v>
      </c>
      <c r="H22" s="38" t="b">
        <f aca="false">FALSE()</f>
        <v>0</v>
      </c>
      <c r="I22" s="38" t="b">
        <f aca="false">FALSE()</f>
        <v>0</v>
      </c>
      <c r="J22" s="38" t="b">
        <f aca="false">FALSE()</f>
        <v>0</v>
      </c>
      <c r="K22" s="38" t="b">
        <f aca="false">FALSE()</f>
        <v>0</v>
      </c>
      <c r="L22" s="38" t="b">
        <f aca="false">FALSE()</f>
        <v>0</v>
      </c>
      <c r="M22" s="38" t="b">
        <f aca="false">FALSE()</f>
        <v>0</v>
      </c>
      <c r="N22" s="38" t="b">
        <f aca="false">FALSE()</f>
        <v>0</v>
      </c>
      <c r="O22" s="38" t="b">
        <f aca="false">FALSE()</f>
        <v>0</v>
      </c>
      <c r="P22" s="38" t="b">
        <f aca="false">FALSE()</f>
        <v>0</v>
      </c>
      <c r="Q22" s="38" t="b">
        <f aca="false">FALSE()</f>
        <v>0</v>
      </c>
      <c r="R22" s="38" t="b">
        <f aca="false">FALSE()</f>
        <v>0</v>
      </c>
      <c r="S22" s="38" t="b">
        <f aca="false">FALSE()</f>
        <v>0</v>
      </c>
      <c r="T22" s="38" t="b">
        <f aca="false">FALSE()</f>
        <v>0</v>
      </c>
      <c r="U22" s="38" t="b">
        <f aca="false">FALSE()</f>
        <v>0</v>
      </c>
      <c r="V22" s="38" t="b">
        <f aca="false">FALSE()</f>
        <v>0</v>
      </c>
      <c r="W22" s="38" t="b">
        <f aca="false">FALSE()</f>
        <v>0</v>
      </c>
      <c r="X22" s="38" t="b">
        <f aca="false">FALSE()</f>
        <v>0</v>
      </c>
      <c r="Y22" s="38" t="b">
        <f aca="false">FALSE()</f>
        <v>0</v>
      </c>
      <c r="Z22" s="38" t="b">
        <f aca="false">FALSE()</f>
        <v>0</v>
      </c>
      <c r="AA22" s="38" t="b">
        <f aca="false">FALSE()</f>
        <v>0</v>
      </c>
      <c r="AB22" s="38" t="b">
        <f aca="false">FALSE()</f>
        <v>0</v>
      </c>
      <c r="AC22" s="38" t="b">
        <f aca="false">FALSE()</f>
        <v>0</v>
      </c>
      <c r="AD22" s="38" t="b">
        <f aca="false">FALSE()</f>
        <v>0</v>
      </c>
      <c r="AE22" s="38" t="b">
        <f aca="false">FALSE()</f>
        <v>0</v>
      </c>
      <c r="AF22" s="38" t="b">
        <f aca="false">FALSE()</f>
        <v>0</v>
      </c>
      <c r="AG22" s="38" t="b">
        <f aca="false">FALSE()</f>
        <v>0</v>
      </c>
      <c r="AH22" s="38" t="b">
        <f aca="false">FALSE()</f>
        <v>0</v>
      </c>
      <c r="AI22" s="39" t="n">
        <f aca="false">IFERROR(COUNTIF(D22:AH22,TRUE())/COUNTA(D22:AH22),0)</f>
        <v>0</v>
      </c>
      <c r="AJ22" s="40" t="n">
        <f aca="false">IFERROR(MAX(FREQUENCY(IF(D22:AH22=TRUE(),COLUMN(D22:AH22)-COLUMN(D22)+1),IF(D22:AH22&lt;&gt;TRUE(),COLUMN(D22:AH22)-COLUMN(D22)+1))),0)</f>
        <v>0</v>
      </c>
      <c r="AK22" s="40" t="n">
        <f aca="false">COUNTIF(D22:AH22,TRUE())</f>
        <v>0</v>
      </c>
      <c r="AL22" s="36" t="s">
        <v>77</v>
      </c>
    </row>
    <row r="23" customFormat="false" ht="28.35" hidden="false" customHeight="false" outlineLevel="0" collapsed="false">
      <c r="A23" s="31" t="n">
        <v>21</v>
      </c>
      <c r="B23" s="32" t="s">
        <v>78</v>
      </c>
      <c r="C23" s="31" t="s">
        <v>8</v>
      </c>
      <c r="D23" s="33" t="b">
        <f aca="false">FALSE()</f>
        <v>0</v>
      </c>
      <c r="E23" s="33" t="b">
        <f aca="false">FALSE()</f>
        <v>0</v>
      </c>
      <c r="F23" s="33" t="b">
        <f aca="false">FALSE()</f>
        <v>0</v>
      </c>
      <c r="G23" s="33" t="b">
        <f aca="false">FALSE()</f>
        <v>0</v>
      </c>
      <c r="H23" s="33" t="b">
        <f aca="false">FALSE()</f>
        <v>0</v>
      </c>
      <c r="I23" s="33" t="b">
        <f aca="false">FALSE()</f>
        <v>0</v>
      </c>
      <c r="J23" s="33" t="b">
        <f aca="false">FALSE()</f>
        <v>0</v>
      </c>
      <c r="K23" s="33" t="b">
        <f aca="false">FALSE()</f>
        <v>0</v>
      </c>
      <c r="L23" s="33" t="b">
        <f aca="false">FALSE()</f>
        <v>0</v>
      </c>
      <c r="M23" s="33" t="b">
        <f aca="false">FALSE()</f>
        <v>0</v>
      </c>
      <c r="N23" s="33" t="b">
        <f aca="false">FALSE()</f>
        <v>0</v>
      </c>
      <c r="O23" s="33" t="b">
        <f aca="false">FALSE()</f>
        <v>0</v>
      </c>
      <c r="P23" s="33" t="b">
        <f aca="false">FALSE()</f>
        <v>0</v>
      </c>
      <c r="Q23" s="33" t="b">
        <f aca="false">FALSE()</f>
        <v>0</v>
      </c>
      <c r="R23" s="33" t="b">
        <f aca="false">FALSE()</f>
        <v>0</v>
      </c>
      <c r="S23" s="33" t="b">
        <f aca="false">FALSE()</f>
        <v>0</v>
      </c>
      <c r="T23" s="33" t="b">
        <f aca="false">FALSE()</f>
        <v>0</v>
      </c>
      <c r="U23" s="33" t="b">
        <f aca="false">FALSE()</f>
        <v>0</v>
      </c>
      <c r="V23" s="33" t="b">
        <f aca="false">FALSE()</f>
        <v>0</v>
      </c>
      <c r="W23" s="33" t="b">
        <f aca="false">FALSE()</f>
        <v>0</v>
      </c>
      <c r="X23" s="33" t="b">
        <f aca="false">FALSE()</f>
        <v>0</v>
      </c>
      <c r="Y23" s="33" t="b">
        <f aca="false">FALSE()</f>
        <v>0</v>
      </c>
      <c r="Z23" s="33" t="b">
        <f aca="false">FALSE()</f>
        <v>0</v>
      </c>
      <c r="AA23" s="33" t="b">
        <f aca="false">FALSE()</f>
        <v>0</v>
      </c>
      <c r="AB23" s="33" t="b">
        <f aca="false">FALSE()</f>
        <v>0</v>
      </c>
      <c r="AC23" s="33" t="b">
        <f aca="false">FALSE()</f>
        <v>0</v>
      </c>
      <c r="AD23" s="33" t="b">
        <f aca="false">FALSE()</f>
        <v>0</v>
      </c>
      <c r="AE23" s="33" t="b">
        <f aca="false">FALSE()</f>
        <v>0</v>
      </c>
      <c r="AF23" s="33" t="b">
        <f aca="false">FALSE()</f>
        <v>0</v>
      </c>
      <c r="AG23" s="33" t="b">
        <f aca="false">FALSE()</f>
        <v>0</v>
      </c>
      <c r="AH23" s="33" t="b">
        <f aca="false">FALSE()</f>
        <v>0</v>
      </c>
      <c r="AI23" s="34" t="n">
        <f aca="false">IFERROR(COUNTIF(D23:AH23,TRUE())/COUNTA(D23:AH23),0)</f>
        <v>0</v>
      </c>
      <c r="AJ23" s="35" t="n">
        <f aca="false">IFERROR(MAX(FREQUENCY(IF(D23:AH23=TRUE(),COLUMN(D23:AH23)-COLUMN(D23)+1),IF(D23:AH23&lt;&gt;TRUE(),COLUMN(D23:AH23)-COLUMN(D23)+1))),0)</f>
        <v>0</v>
      </c>
      <c r="AK23" s="35" t="n">
        <f aca="false">COUNTIF(D23:AH23,TRUE())</f>
        <v>0</v>
      </c>
      <c r="AL23" s="36" t="s">
        <v>79</v>
      </c>
    </row>
    <row r="24" customFormat="false" ht="28.35" hidden="false" customHeight="false" outlineLevel="0" collapsed="false">
      <c r="A24" s="37" t="n">
        <v>22</v>
      </c>
      <c r="B24" s="25" t="s">
        <v>80</v>
      </c>
      <c r="C24" s="37" t="s">
        <v>8</v>
      </c>
      <c r="D24" s="38" t="b">
        <f aca="false">FALSE()</f>
        <v>0</v>
      </c>
      <c r="E24" s="38" t="b">
        <f aca="false">FALSE()</f>
        <v>0</v>
      </c>
      <c r="F24" s="38" t="b">
        <f aca="false">FALSE()</f>
        <v>0</v>
      </c>
      <c r="G24" s="38" t="b">
        <f aca="false">FALSE()</f>
        <v>0</v>
      </c>
      <c r="H24" s="38" t="b">
        <f aca="false">FALSE()</f>
        <v>0</v>
      </c>
      <c r="I24" s="38" t="b">
        <f aca="false">FALSE()</f>
        <v>0</v>
      </c>
      <c r="J24" s="38" t="b">
        <f aca="false">FALSE()</f>
        <v>0</v>
      </c>
      <c r="K24" s="38" t="b">
        <f aca="false">FALSE()</f>
        <v>0</v>
      </c>
      <c r="L24" s="38" t="b">
        <f aca="false">FALSE()</f>
        <v>0</v>
      </c>
      <c r="M24" s="38" t="b">
        <f aca="false">FALSE()</f>
        <v>0</v>
      </c>
      <c r="N24" s="38" t="b">
        <f aca="false">FALSE()</f>
        <v>0</v>
      </c>
      <c r="O24" s="38" t="b">
        <f aca="false">FALSE()</f>
        <v>0</v>
      </c>
      <c r="P24" s="38" t="b">
        <f aca="false">FALSE()</f>
        <v>0</v>
      </c>
      <c r="Q24" s="38" t="b">
        <f aca="false">FALSE()</f>
        <v>0</v>
      </c>
      <c r="R24" s="38" t="b">
        <f aca="false">FALSE()</f>
        <v>0</v>
      </c>
      <c r="S24" s="38" t="b">
        <f aca="false">FALSE()</f>
        <v>0</v>
      </c>
      <c r="T24" s="38" t="b">
        <f aca="false">FALSE()</f>
        <v>0</v>
      </c>
      <c r="U24" s="38" t="b">
        <f aca="false">FALSE()</f>
        <v>0</v>
      </c>
      <c r="V24" s="38" t="b">
        <f aca="false">FALSE()</f>
        <v>0</v>
      </c>
      <c r="W24" s="38" t="b">
        <f aca="false">FALSE()</f>
        <v>0</v>
      </c>
      <c r="X24" s="38" t="b">
        <f aca="false">FALSE()</f>
        <v>0</v>
      </c>
      <c r="Y24" s="38" t="b">
        <f aca="false">FALSE()</f>
        <v>0</v>
      </c>
      <c r="Z24" s="38" t="b">
        <f aca="false">FALSE()</f>
        <v>0</v>
      </c>
      <c r="AA24" s="38" t="b">
        <f aca="false">FALSE()</f>
        <v>0</v>
      </c>
      <c r="AB24" s="38" t="b">
        <f aca="false">FALSE()</f>
        <v>0</v>
      </c>
      <c r="AC24" s="38" t="b">
        <f aca="false">FALSE()</f>
        <v>0</v>
      </c>
      <c r="AD24" s="38" t="b">
        <f aca="false">FALSE()</f>
        <v>0</v>
      </c>
      <c r="AE24" s="38" t="b">
        <f aca="false">FALSE()</f>
        <v>0</v>
      </c>
      <c r="AF24" s="38" t="b">
        <f aca="false">FALSE()</f>
        <v>0</v>
      </c>
      <c r="AG24" s="38" t="b">
        <f aca="false">FALSE()</f>
        <v>0</v>
      </c>
      <c r="AH24" s="38" t="b">
        <f aca="false">FALSE()</f>
        <v>0</v>
      </c>
      <c r="AI24" s="39" t="n">
        <f aca="false">IFERROR(COUNTIF(D24:AH24,TRUE())/COUNTA(D24:AH24),0)</f>
        <v>0</v>
      </c>
      <c r="AJ24" s="40" t="n">
        <f aca="false">IFERROR(MAX(FREQUENCY(IF(D24:AH24=TRUE(),COLUMN(D24:AH24)-COLUMN(D24)+1),IF(D24:AH24&lt;&gt;TRUE(),COLUMN(D24:AH24)-COLUMN(D24)+1))),0)</f>
        <v>0</v>
      </c>
      <c r="AK24" s="40" t="n">
        <f aca="false">COUNTIF(D24:AH24,TRUE())</f>
        <v>0</v>
      </c>
      <c r="AL24" s="36" t="s">
        <v>81</v>
      </c>
    </row>
    <row r="25" customFormat="false" ht="28.35" hidden="false" customHeight="false" outlineLevel="0" collapsed="false">
      <c r="A25" s="31" t="n">
        <v>23</v>
      </c>
      <c r="B25" s="32" t="s">
        <v>82</v>
      </c>
      <c r="C25" s="31" t="s">
        <v>9</v>
      </c>
      <c r="D25" s="33" t="b">
        <f aca="false">FALSE()</f>
        <v>0</v>
      </c>
      <c r="E25" s="33" t="b">
        <f aca="false">FALSE()</f>
        <v>0</v>
      </c>
      <c r="F25" s="33" t="b">
        <f aca="false">FALSE()</f>
        <v>0</v>
      </c>
      <c r="G25" s="33" t="b">
        <f aca="false">FALSE()</f>
        <v>0</v>
      </c>
      <c r="H25" s="33" t="b">
        <f aca="false">FALSE()</f>
        <v>0</v>
      </c>
      <c r="I25" s="33" t="b">
        <f aca="false">FALSE()</f>
        <v>0</v>
      </c>
      <c r="J25" s="33" t="b">
        <f aca="false">FALSE()</f>
        <v>0</v>
      </c>
      <c r="K25" s="33" t="b">
        <f aca="false">FALSE()</f>
        <v>0</v>
      </c>
      <c r="L25" s="33" t="b">
        <f aca="false">FALSE()</f>
        <v>0</v>
      </c>
      <c r="M25" s="33" t="b">
        <f aca="false">FALSE()</f>
        <v>0</v>
      </c>
      <c r="N25" s="33" t="b">
        <f aca="false">FALSE()</f>
        <v>0</v>
      </c>
      <c r="O25" s="33" t="b">
        <f aca="false">FALSE()</f>
        <v>0</v>
      </c>
      <c r="P25" s="33" t="b">
        <f aca="false">FALSE()</f>
        <v>0</v>
      </c>
      <c r="Q25" s="33" t="b">
        <f aca="false">FALSE()</f>
        <v>0</v>
      </c>
      <c r="R25" s="33" t="b">
        <f aca="false">FALSE()</f>
        <v>0</v>
      </c>
      <c r="S25" s="33" t="b">
        <f aca="false">FALSE()</f>
        <v>0</v>
      </c>
      <c r="T25" s="33" t="b">
        <f aca="false">FALSE()</f>
        <v>0</v>
      </c>
      <c r="U25" s="33" t="b">
        <f aca="false">FALSE()</f>
        <v>0</v>
      </c>
      <c r="V25" s="33" t="b">
        <f aca="false">FALSE()</f>
        <v>0</v>
      </c>
      <c r="W25" s="33" t="b">
        <f aca="false">FALSE()</f>
        <v>0</v>
      </c>
      <c r="X25" s="33" t="b">
        <f aca="false">FALSE()</f>
        <v>0</v>
      </c>
      <c r="Y25" s="33" t="b">
        <f aca="false">FALSE()</f>
        <v>0</v>
      </c>
      <c r="Z25" s="33" t="b">
        <f aca="false">FALSE()</f>
        <v>0</v>
      </c>
      <c r="AA25" s="33" t="b">
        <f aca="false">FALSE()</f>
        <v>0</v>
      </c>
      <c r="AB25" s="33" t="b">
        <f aca="false">FALSE()</f>
        <v>0</v>
      </c>
      <c r="AC25" s="33" t="b">
        <f aca="false">FALSE()</f>
        <v>0</v>
      </c>
      <c r="AD25" s="33" t="b">
        <f aca="false">FALSE()</f>
        <v>0</v>
      </c>
      <c r="AE25" s="33" t="b">
        <f aca="false">FALSE()</f>
        <v>0</v>
      </c>
      <c r="AF25" s="33" t="b">
        <f aca="false">FALSE()</f>
        <v>0</v>
      </c>
      <c r="AG25" s="33" t="b">
        <f aca="false">FALSE()</f>
        <v>0</v>
      </c>
      <c r="AH25" s="33" t="b">
        <f aca="false">FALSE()</f>
        <v>0</v>
      </c>
      <c r="AI25" s="34" t="n">
        <f aca="false">IFERROR(COUNTIF(D25:AH25,TRUE())/COUNTA(D25:AH25),0)</f>
        <v>0</v>
      </c>
      <c r="AJ25" s="35" t="n">
        <f aca="false">IFERROR(MAX(FREQUENCY(IF(D25:AH25=TRUE(),COLUMN(D25:AH25)-COLUMN(D25)+1),IF(D25:AH25&lt;&gt;TRUE(),COLUMN(D25:AH25)-COLUMN(D25)+1))),0)</f>
        <v>0</v>
      </c>
      <c r="AK25" s="35" t="n">
        <f aca="false">COUNTIF(D25:AH25,TRUE())</f>
        <v>0</v>
      </c>
      <c r="AL25" s="36" t="s">
        <v>83</v>
      </c>
    </row>
    <row r="26" customFormat="false" ht="28.35" hidden="false" customHeight="false" outlineLevel="0" collapsed="false">
      <c r="A26" s="37" t="n">
        <v>24</v>
      </c>
      <c r="B26" s="25" t="s">
        <v>84</v>
      </c>
      <c r="C26" s="37" t="s">
        <v>9</v>
      </c>
      <c r="D26" s="38" t="b">
        <f aca="false">FALSE()</f>
        <v>0</v>
      </c>
      <c r="E26" s="38" t="b">
        <f aca="false">FALSE()</f>
        <v>0</v>
      </c>
      <c r="F26" s="38" t="b">
        <f aca="false">FALSE()</f>
        <v>0</v>
      </c>
      <c r="G26" s="38" t="b">
        <f aca="false">FALSE()</f>
        <v>0</v>
      </c>
      <c r="H26" s="38" t="b">
        <f aca="false">FALSE()</f>
        <v>0</v>
      </c>
      <c r="I26" s="38" t="b">
        <f aca="false">FALSE()</f>
        <v>0</v>
      </c>
      <c r="J26" s="38" t="b">
        <f aca="false">FALSE()</f>
        <v>0</v>
      </c>
      <c r="K26" s="38" t="b">
        <f aca="false">FALSE()</f>
        <v>0</v>
      </c>
      <c r="L26" s="38" t="b">
        <f aca="false">FALSE()</f>
        <v>0</v>
      </c>
      <c r="M26" s="38" t="b">
        <f aca="false">FALSE()</f>
        <v>0</v>
      </c>
      <c r="N26" s="38" t="b">
        <f aca="false">FALSE()</f>
        <v>0</v>
      </c>
      <c r="O26" s="38" t="b">
        <f aca="false">FALSE()</f>
        <v>0</v>
      </c>
      <c r="P26" s="38" t="b">
        <f aca="false">FALSE()</f>
        <v>0</v>
      </c>
      <c r="Q26" s="38" t="b">
        <f aca="false">FALSE()</f>
        <v>0</v>
      </c>
      <c r="R26" s="38" t="b">
        <f aca="false">FALSE()</f>
        <v>0</v>
      </c>
      <c r="S26" s="38" t="b">
        <f aca="false">FALSE()</f>
        <v>0</v>
      </c>
      <c r="T26" s="38" t="b">
        <f aca="false">FALSE()</f>
        <v>0</v>
      </c>
      <c r="U26" s="38" t="b">
        <f aca="false">FALSE()</f>
        <v>0</v>
      </c>
      <c r="V26" s="38" t="b">
        <f aca="false">FALSE()</f>
        <v>0</v>
      </c>
      <c r="W26" s="38" t="b">
        <f aca="false">FALSE()</f>
        <v>0</v>
      </c>
      <c r="X26" s="38" t="b">
        <f aca="false">FALSE()</f>
        <v>0</v>
      </c>
      <c r="Y26" s="38" t="b">
        <f aca="false">FALSE()</f>
        <v>0</v>
      </c>
      <c r="Z26" s="38" t="b">
        <f aca="false">FALSE()</f>
        <v>0</v>
      </c>
      <c r="AA26" s="38" t="b">
        <f aca="false">FALSE()</f>
        <v>0</v>
      </c>
      <c r="AB26" s="38" t="b">
        <f aca="false">FALSE()</f>
        <v>0</v>
      </c>
      <c r="AC26" s="38" t="b">
        <f aca="false">FALSE()</f>
        <v>0</v>
      </c>
      <c r="AD26" s="38" t="b">
        <f aca="false">FALSE()</f>
        <v>0</v>
      </c>
      <c r="AE26" s="38" t="b">
        <f aca="false">FALSE()</f>
        <v>0</v>
      </c>
      <c r="AF26" s="38" t="b">
        <f aca="false">FALSE()</f>
        <v>0</v>
      </c>
      <c r="AG26" s="38" t="b">
        <f aca="false">FALSE()</f>
        <v>0</v>
      </c>
      <c r="AH26" s="38" t="b">
        <f aca="false">FALSE()</f>
        <v>0</v>
      </c>
      <c r="AI26" s="39" t="n">
        <f aca="false">IFERROR(COUNTIF(D26:AH26,TRUE())/COUNTA(D26:AH26),0)</f>
        <v>0</v>
      </c>
      <c r="AJ26" s="40" t="n">
        <f aca="false">IFERROR(MAX(FREQUENCY(IF(D26:AH26=TRUE(),COLUMN(D26:AH26)-COLUMN(D26)+1),IF(D26:AH26&lt;&gt;TRUE(),COLUMN(D26:AH26)-COLUMN(D26)+1))),0)</f>
        <v>0</v>
      </c>
      <c r="AK26" s="40" t="n">
        <f aca="false">COUNTIF(D26:AH26,TRUE())</f>
        <v>0</v>
      </c>
      <c r="AL26" s="36" t="s">
        <v>85</v>
      </c>
    </row>
    <row r="27" customFormat="false" ht="28.35" hidden="false" customHeight="false" outlineLevel="0" collapsed="false">
      <c r="A27" s="31" t="n">
        <v>25</v>
      </c>
      <c r="B27" s="32" t="s">
        <v>86</v>
      </c>
      <c r="C27" s="31" t="s">
        <v>9</v>
      </c>
      <c r="D27" s="33" t="b">
        <f aca="false">FALSE()</f>
        <v>0</v>
      </c>
      <c r="E27" s="33" t="b">
        <f aca="false">FALSE()</f>
        <v>0</v>
      </c>
      <c r="F27" s="33" t="b">
        <f aca="false">FALSE()</f>
        <v>0</v>
      </c>
      <c r="G27" s="33" t="b">
        <f aca="false">FALSE()</f>
        <v>0</v>
      </c>
      <c r="H27" s="33" t="b">
        <f aca="false">FALSE()</f>
        <v>0</v>
      </c>
      <c r="I27" s="33" t="b">
        <f aca="false">FALSE()</f>
        <v>0</v>
      </c>
      <c r="J27" s="33" t="b">
        <f aca="false">FALSE()</f>
        <v>0</v>
      </c>
      <c r="K27" s="33" t="b">
        <f aca="false">FALSE()</f>
        <v>0</v>
      </c>
      <c r="L27" s="33" t="b">
        <f aca="false">FALSE()</f>
        <v>0</v>
      </c>
      <c r="M27" s="33" t="b">
        <f aca="false">FALSE()</f>
        <v>0</v>
      </c>
      <c r="N27" s="33" t="b">
        <f aca="false">FALSE()</f>
        <v>0</v>
      </c>
      <c r="O27" s="33" t="b">
        <f aca="false">FALSE()</f>
        <v>0</v>
      </c>
      <c r="P27" s="33" t="b">
        <f aca="false">FALSE()</f>
        <v>0</v>
      </c>
      <c r="Q27" s="33" t="b">
        <f aca="false">FALSE()</f>
        <v>0</v>
      </c>
      <c r="R27" s="33" t="b">
        <f aca="false">FALSE()</f>
        <v>0</v>
      </c>
      <c r="S27" s="33" t="b">
        <f aca="false">FALSE()</f>
        <v>0</v>
      </c>
      <c r="T27" s="33" t="b">
        <f aca="false">FALSE()</f>
        <v>0</v>
      </c>
      <c r="U27" s="33" t="b">
        <f aca="false">FALSE()</f>
        <v>0</v>
      </c>
      <c r="V27" s="33" t="b">
        <f aca="false">FALSE()</f>
        <v>0</v>
      </c>
      <c r="W27" s="33" t="b">
        <f aca="false">FALSE()</f>
        <v>0</v>
      </c>
      <c r="X27" s="33" t="b">
        <f aca="false">FALSE()</f>
        <v>0</v>
      </c>
      <c r="Y27" s="33" t="b">
        <f aca="false">FALSE()</f>
        <v>0</v>
      </c>
      <c r="Z27" s="33" t="b">
        <f aca="false">FALSE()</f>
        <v>0</v>
      </c>
      <c r="AA27" s="33" t="b">
        <f aca="false">FALSE()</f>
        <v>0</v>
      </c>
      <c r="AB27" s="33" t="b">
        <f aca="false">FALSE()</f>
        <v>0</v>
      </c>
      <c r="AC27" s="33" t="b">
        <f aca="false">FALSE()</f>
        <v>0</v>
      </c>
      <c r="AD27" s="33" t="b">
        <f aca="false">FALSE()</f>
        <v>0</v>
      </c>
      <c r="AE27" s="33" t="b">
        <f aca="false">FALSE()</f>
        <v>0</v>
      </c>
      <c r="AF27" s="33" t="b">
        <f aca="false">FALSE()</f>
        <v>0</v>
      </c>
      <c r="AG27" s="33" t="b">
        <f aca="false">FALSE()</f>
        <v>0</v>
      </c>
      <c r="AH27" s="33" t="b">
        <f aca="false">FALSE()</f>
        <v>0</v>
      </c>
      <c r="AI27" s="34" t="n">
        <f aca="false">IFERROR(COUNTIF(D27:AH27,TRUE())/COUNTA(D27:AH27),0)</f>
        <v>0</v>
      </c>
      <c r="AJ27" s="35" t="n">
        <f aca="false">IFERROR(MAX(FREQUENCY(IF(D27:AH27=TRUE(),COLUMN(D27:AH27)-COLUMN(D27)+1),IF(D27:AH27&lt;&gt;TRUE(),COLUMN(D27:AH27)-COLUMN(D27)+1))),0)</f>
        <v>0</v>
      </c>
      <c r="AK27" s="35" t="n">
        <f aca="false">COUNTIF(D27:AH27,TRUE())</f>
        <v>0</v>
      </c>
      <c r="AL27" s="36" t="s">
        <v>87</v>
      </c>
    </row>
    <row r="28" customFormat="false" ht="28.35" hidden="false" customHeight="false" outlineLevel="0" collapsed="false">
      <c r="A28" s="37" t="n">
        <v>26</v>
      </c>
      <c r="B28" s="25" t="s">
        <v>88</v>
      </c>
      <c r="C28" s="37" t="s">
        <v>12</v>
      </c>
      <c r="D28" s="38" t="b">
        <f aca="false">FALSE()</f>
        <v>0</v>
      </c>
      <c r="E28" s="38" t="b">
        <f aca="false">FALSE()</f>
        <v>0</v>
      </c>
      <c r="F28" s="38" t="b">
        <f aca="false">FALSE()</f>
        <v>0</v>
      </c>
      <c r="G28" s="38" t="b">
        <f aca="false">FALSE()</f>
        <v>0</v>
      </c>
      <c r="H28" s="38" t="b">
        <f aca="false">FALSE()</f>
        <v>0</v>
      </c>
      <c r="I28" s="38" t="b">
        <f aca="false">FALSE()</f>
        <v>0</v>
      </c>
      <c r="J28" s="38" t="b">
        <f aca="false">FALSE()</f>
        <v>0</v>
      </c>
      <c r="K28" s="38" t="b">
        <f aca="false">FALSE()</f>
        <v>0</v>
      </c>
      <c r="L28" s="38" t="b">
        <f aca="false">FALSE()</f>
        <v>0</v>
      </c>
      <c r="M28" s="38" t="b">
        <f aca="false">FALSE()</f>
        <v>0</v>
      </c>
      <c r="N28" s="38" t="b">
        <f aca="false">FALSE()</f>
        <v>0</v>
      </c>
      <c r="O28" s="38" t="b">
        <f aca="false">FALSE()</f>
        <v>0</v>
      </c>
      <c r="P28" s="38" t="b">
        <f aca="false">FALSE()</f>
        <v>0</v>
      </c>
      <c r="Q28" s="38" t="b">
        <f aca="false">FALSE()</f>
        <v>0</v>
      </c>
      <c r="R28" s="38" t="b">
        <f aca="false">FALSE()</f>
        <v>0</v>
      </c>
      <c r="S28" s="38" t="b">
        <f aca="false">FALSE()</f>
        <v>0</v>
      </c>
      <c r="T28" s="38" t="b">
        <f aca="false">FALSE()</f>
        <v>0</v>
      </c>
      <c r="U28" s="38" t="b">
        <f aca="false">FALSE()</f>
        <v>0</v>
      </c>
      <c r="V28" s="38" t="b">
        <f aca="false">FALSE()</f>
        <v>0</v>
      </c>
      <c r="W28" s="38" t="b">
        <f aca="false">FALSE()</f>
        <v>0</v>
      </c>
      <c r="X28" s="38" t="b">
        <f aca="false">FALSE()</f>
        <v>0</v>
      </c>
      <c r="Y28" s="38" t="b">
        <f aca="false">FALSE()</f>
        <v>0</v>
      </c>
      <c r="Z28" s="38" t="b">
        <f aca="false">FALSE()</f>
        <v>0</v>
      </c>
      <c r="AA28" s="38" t="b">
        <f aca="false">FALSE()</f>
        <v>0</v>
      </c>
      <c r="AB28" s="38" t="b">
        <f aca="false">FALSE()</f>
        <v>0</v>
      </c>
      <c r="AC28" s="38" t="b">
        <f aca="false">FALSE()</f>
        <v>0</v>
      </c>
      <c r="AD28" s="38" t="b">
        <f aca="false">FALSE()</f>
        <v>0</v>
      </c>
      <c r="AE28" s="38" t="b">
        <f aca="false">FALSE()</f>
        <v>0</v>
      </c>
      <c r="AF28" s="38" t="b">
        <f aca="false">FALSE()</f>
        <v>0</v>
      </c>
      <c r="AG28" s="38" t="b">
        <f aca="false">FALSE()</f>
        <v>0</v>
      </c>
      <c r="AH28" s="38" t="b">
        <f aca="false">FALSE()</f>
        <v>0</v>
      </c>
      <c r="AI28" s="39" t="n">
        <f aca="false">IFERROR(COUNTIF(D28:AH28,TRUE())/COUNTA(D28:AH28),0)</f>
        <v>0</v>
      </c>
      <c r="AJ28" s="40" t="n">
        <f aca="false">IFERROR(MAX(FREQUENCY(IF(D28:AH28=TRUE(),COLUMN(D28:AH28)-COLUMN(D28)+1),IF(D28:AH28&lt;&gt;TRUE(),COLUMN(D28:AH28)-COLUMN(D28)+1))),0)</f>
        <v>0</v>
      </c>
      <c r="AK28" s="40" t="n">
        <f aca="false">COUNTIF(D28:AH28,TRUE())</f>
        <v>0</v>
      </c>
      <c r="AL28" s="36" t="s">
        <v>89</v>
      </c>
    </row>
    <row r="29" customFormat="false" ht="28.35" hidden="false" customHeight="false" outlineLevel="0" collapsed="false">
      <c r="A29" s="31" t="n">
        <v>27</v>
      </c>
      <c r="B29" s="32" t="s">
        <v>90</v>
      </c>
      <c r="C29" s="31" t="s">
        <v>12</v>
      </c>
      <c r="D29" s="33" t="b">
        <f aca="false">FALSE()</f>
        <v>0</v>
      </c>
      <c r="E29" s="33" t="b">
        <f aca="false">FALSE()</f>
        <v>0</v>
      </c>
      <c r="F29" s="33" t="b">
        <f aca="false">FALSE()</f>
        <v>0</v>
      </c>
      <c r="G29" s="33" t="b">
        <f aca="false">FALSE()</f>
        <v>0</v>
      </c>
      <c r="H29" s="33" t="b">
        <f aca="false">FALSE()</f>
        <v>0</v>
      </c>
      <c r="I29" s="33" t="b">
        <f aca="false">FALSE()</f>
        <v>0</v>
      </c>
      <c r="J29" s="33" t="b">
        <f aca="false">FALSE()</f>
        <v>0</v>
      </c>
      <c r="K29" s="33" t="b">
        <f aca="false">FALSE()</f>
        <v>0</v>
      </c>
      <c r="L29" s="33" t="b">
        <f aca="false">FALSE()</f>
        <v>0</v>
      </c>
      <c r="M29" s="33" t="b">
        <f aca="false">FALSE()</f>
        <v>0</v>
      </c>
      <c r="N29" s="33" t="b">
        <f aca="false">FALSE()</f>
        <v>0</v>
      </c>
      <c r="O29" s="33" t="b">
        <f aca="false">FALSE()</f>
        <v>0</v>
      </c>
      <c r="P29" s="33" t="b">
        <f aca="false">FALSE()</f>
        <v>0</v>
      </c>
      <c r="Q29" s="33" t="b">
        <f aca="false">FALSE()</f>
        <v>0</v>
      </c>
      <c r="R29" s="33" t="b">
        <f aca="false">FALSE()</f>
        <v>0</v>
      </c>
      <c r="S29" s="33" t="b">
        <f aca="false">FALSE()</f>
        <v>0</v>
      </c>
      <c r="T29" s="33" t="b">
        <f aca="false">FALSE()</f>
        <v>0</v>
      </c>
      <c r="U29" s="33" t="b">
        <f aca="false">FALSE()</f>
        <v>0</v>
      </c>
      <c r="V29" s="33" t="b">
        <f aca="false">FALSE()</f>
        <v>0</v>
      </c>
      <c r="W29" s="33" t="b">
        <f aca="false">FALSE()</f>
        <v>0</v>
      </c>
      <c r="X29" s="33" t="b">
        <f aca="false">FALSE()</f>
        <v>0</v>
      </c>
      <c r="Y29" s="33" t="b">
        <f aca="false">FALSE()</f>
        <v>0</v>
      </c>
      <c r="Z29" s="33" t="b">
        <f aca="false">FALSE()</f>
        <v>0</v>
      </c>
      <c r="AA29" s="33" t="b">
        <f aca="false">FALSE()</f>
        <v>0</v>
      </c>
      <c r="AB29" s="33" t="b">
        <f aca="false">FALSE()</f>
        <v>0</v>
      </c>
      <c r="AC29" s="33" t="b">
        <f aca="false">FALSE()</f>
        <v>0</v>
      </c>
      <c r="AD29" s="33" t="b">
        <f aca="false">FALSE()</f>
        <v>0</v>
      </c>
      <c r="AE29" s="33" t="b">
        <f aca="false">FALSE()</f>
        <v>0</v>
      </c>
      <c r="AF29" s="33" t="b">
        <f aca="false">FALSE()</f>
        <v>0</v>
      </c>
      <c r="AG29" s="33" t="b">
        <f aca="false">FALSE()</f>
        <v>0</v>
      </c>
      <c r="AH29" s="33" t="b">
        <f aca="false">FALSE()</f>
        <v>0</v>
      </c>
      <c r="AI29" s="34" t="n">
        <f aca="false">IFERROR(COUNTIF(D29:AH29,TRUE())/COUNTA(D29:AH29),0)</f>
        <v>0</v>
      </c>
      <c r="AJ29" s="35" t="n">
        <f aca="false">IFERROR(MAX(FREQUENCY(IF(D29:AH29=TRUE(),COLUMN(D29:AH29)-COLUMN(D29)+1),IF(D29:AH29&lt;&gt;TRUE(),COLUMN(D29:AH29)-COLUMN(D29)+1))),0)</f>
        <v>0</v>
      </c>
      <c r="AK29" s="35" t="n">
        <f aca="false">COUNTIF(D29:AH29,TRUE())</f>
        <v>0</v>
      </c>
      <c r="AL29" s="36" t="s">
        <v>91</v>
      </c>
    </row>
    <row r="30" customFormat="false" ht="28.35" hidden="false" customHeight="false" outlineLevel="0" collapsed="false">
      <c r="A30" s="37" t="n">
        <v>28</v>
      </c>
      <c r="B30" s="25" t="s">
        <v>92</v>
      </c>
      <c r="C30" s="37" t="s">
        <v>12</v>
      </c>
      <c r="D30" s="38" t="b">
        <f aca="false">FALSE()</f>
        <v>0</v>
      </c>
      <c r="E30" s="38" t="b">
        <f aca="false">FALSE()</f>
        <v>0</v>
      </c>
      <c r="F30" s="38" t="b">
        <f aca="false">FALSE()</f>
        <v>0</v>
      </c>
      <c r="G30" s="38" t="b">
        <f aca="false">FALSE()</f>
        <v>0</v>
      </c>
      <c r="H30" s="38" t="b">
        <f aca="false">FALSE()</f>
        <v>0</v>
      </c>
      <c r="I30" s="38" t="b">
        <f aca="false">FALSE()</f>
        <v>0</v>
      </c>
      <c r="J30" s="38" t="b">
        <f aca="false">FALSE()</f>
        <v>0</v>
      </c>
      <c r="K30" s="38" t="b">
        <f aca="false">FALSE()</f>
        <v>0</v>
      </c>
      <c r="L30" s="38" t="b">
        <f aca="false">FALSE()</f>
        <v>0</v>
      </c>
      <c r="M30" s="38" t="b">
        <f aca="false">FALSE()</f>
        <v>0</v>
      </c>
      <c r="N30" s="38" t="b">
        <f aca="false">FALSE()</f>
        <v>0</v>
      </c>
      <c r="O30" s="38" t="b">
        <f aca="false">FALSE()</f>
        <v>0</v>
      </c>
      <c r="P30" s="38" t="b">
        <f aca="false">FALSE()</f>
        <v>0</v>
      </c>
      <c r="Q30" s="38" t="b">
        <f aca="false">FALSE()</f>
        <v>0</v>
      </c>
      <c r="R30" s="38" t="b">
        <f aca="false">FALSE()</f>
        <v>0</v>
      </c>
      <c r="S30" s="38" t="b">
        <f aca="false">FALSE()</f>
        <v>0</v>
      </c>
      <c r="T30" s="38" t="b">
        <f aca="false">FALSE()</f>
        <v>0</v>
      </c>
      <c r="U30" s="38" t="b">
        <f aca="false">FALSE()</f>
        <v>0</v>
      </c>
      <c r="V30" s="38" t="b">
        <f aca="false">FALSE()</f>
        <v>0</v>
      </c>
      <c r="W30" s="38" t="b">
        <f aca="false">FALSE()</f>
        <v>0</v>
      </c>
      <c r="X30" s="38" t="b">
        <f aca="false">FALSE()</f>
        <v>0</v>
      </c>
      <c r="Y30" s="38" t="b">
        <f aca="false">FALSE()</f>
        <v>0</v>
      </c>
      <c r="Z30" s="38" t="b">
        <f aca="false">FALSE()</f>
        <v>0</v>
      </c>
      <c r="AA30" s="38" t="b">
        <f aca="false">FALSE()</f>
        <v>0</v>
      </c>
      <c r="AB30" s="38" t="b">
        <f aca="false">FALSE()</f>
        <v>0</v>
      </c>
      <c r="AC30" s="38" t="b">
        <f aca="false">FALSE()</f>
        <v>0</v>
      </c>
      <c r="AD30" s="38" t="b">
        <f aca="false">FALSE()</f>
        <v>0</v>
      </c>
      <c r="AE30" s="38" t="b">
        <f aca="false">FALSE()</f>
        <v>0</v>
      </c>
      <c r="AF30" s="38" t="b">
        <f aca="false">FALSE()</f>
        <v>0</v>
      </c>
      <c r="AG30" s="38" t="b">
        <f aca="false">FALSE()</f>
        <v>0</v>
      </c>
      <c r="AH30" s="38" t="b">
        <f aca="false">FALSE()</f>
        <v>0</v>
      </c>
      <c r="AI30" s="39" t="n">
        <f aca="false">IFERROR(COUNTIF(D30:AH30,TRUE())/COUNTA(D30:AH30),0)</f>
        <v>0</v>
      </c>
      <c r="AJ30" s="40" t="n">
        <f aca="false">IFERROR(MAX(FREQUENCY(IF(D30:AH30=TRUE(),COLUMN(D30:AH30)-COLUMN(D30)+1),IF(D30:AH30&lt;&gt;TRUE(),COLUMN(D30:AH30)-COLUMN(D30)+1))),0)</f>
        <v>0</v>
      </c>
      <c r="AK30" s="40" t="n">
        <f aca="false">COUNTIF(D30:AH30,TRUE())</f>
        <v>0</v>
      </c>
      <c r="AL30" s="36" t="s">
        <v>93</v>
      </c>
    </row>
  </sheetData>
  <mergeCells count="2">
    <mergeCell ref="A1:C1"/>
    <mergeCell ref="D1:G1"/>
  </mergeCells>
  <conditionalFormatting sqref="D3:AH30">
    <cfRule type="expression" priority="2" aboveAverage="0" equalAverage="0" bottom="0" percent="0" rank="0" text="" dxfId="0">
      <formula>D3=1</formula>
    </cfRule>
  </conditionalFormatting>
  <conditionalFormatting sqref="AI3:AI30">
    <cfRule type="expression" priority="3" aboveAverage="0" equalAverage="0" bottom="0" percent="0" rank="0" text="" dxfId="1">
      <formula>AI3&lt;0.4</formula>
    </cfRule>
    <cfRule type="expression" priority="4" aboveAverage="0" equalAverage="0" bottom="0" percent="0" rank="0" text="" dxfId="2">
      <formula>AND(AI3&gt;=0.4,AI3&lt;=0.8)</formula>
    </cfRule>
    <cfRule type="expression" priority="5" aboveAverage="0" equalAverage="0" bottom="0" percent="0" rank="0" text="" dxfId="3">
      <formula>AI3&gt;0.8</formula>
    </cfRule>
  </conditionalFormatting>
  <dataValidations count="1">
    <dataValidation allowBlank="true" errorStyle="stop" operator="between" showDropDown="false" showErrorMessage="true" showInputMessage="true" sqref="D3:AH30" type="custom">
      <formula1>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CCE6A557-97BC-4B89-ADB6-D9C93CAAB3DF}">
      <x14:dataValidations xmlns:x14="http://schemas.microsoft.com/office/spreadsheetml/2009/9/main" xmlns:xm="http://schemas.microsoft.com/office/excel/2006/main" count="1">
        <x14:dataValidation type="custom" allowBlank="1" showInputMessage="1" showErrorMessage="1">
          <x14:formula1>
            <xm:f>TRUE</xm:f>
          </x14:formula1>
          <xm:sqref>D3:AH30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7A4A"/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41" t="s">
        <v>94</v>
      </c>
      <c r="B1" s="41" t="s">
        <v>95</v>
      </c>
      <c r="C1" s="41" t="s">
        <v>33</v>
      </c>
    </row>
    <row r="2" customFormat="false" ht="15" hidden="false" customHeight="false" outlineLevel="0" collapsed="false">
      <c r="A2" s="37" t="n">
        <v>1</v>
      </c>
      <c r="B2" s="25" t="s">
        <v>38</v>
      </c>
      <c r="C2" s="37" t="s">
        <v>10</v>
      </c>
    </row>
    <row r="3" customFormat="false" ht="15" hidden="false" customHeight="false" outlineLevel="0" collapsed="false">
      <c r="A3" s="31" t="n">
        <v>2</v>
      </c>
      <c r="B3" s="32" t="s">
        <v>40</v>
      </c>
      <c r="C3" s="31" t="s">
        <v>10</v>
      </c>
    </row>
    <row r="4" customFormat="false" ht="15" hidden="false" customHeight="false" outlineLevel="0" collapsed="false">
      <c r="A4" s="37" t="n">
        <v>3</v>
      </c>
      <c r="B4" s="25" t="s">
        <v>42</v>
      </c>
      <c r="C4" s="37" t="s">
        <v>10</v>
      </c>
    </row>
    <row r="5" customFormat="false" ht="15" hidden="false" customHeight="false" outlineLevel="0" collapsed="false">
      <c r="A5" s="31" t="n">
        <v>4</v>
      </c>
      <c r="B5" s="32" t="s">
        <v>44</v>
      </c>
      <c r="C5" s="31" t="s">
        <v>10</v>
      </c>
    </row>
    <row r="6" customFormat="false" ht="15" hidden="false" customHeight="false" outlineLevel="0" collapsed="false">
      <c r="A6" s="37" t="n">
        <v>5</v>
      </c>
      <c r="B6" s="25" t="s">
        <v>46</v>
      </c>
      <c r="C6" s="37" t="s">
        <v>10</v>
      </c>
    </row>
    <row r="7" customFormat="false" ht="15" hidden="false" customHeight="false" outlineLevel="0" collapsed="false">
      <c r="A7" s="31" t="n">
        <v>6</v>
      </c>
      <c r="B7" s="32" t="s">
        <v>48</v>
      </c>
      <c r="C7" s="31" t="s">
        <v>10</v>
      </c>
    </row>
    <row r="8" customFormat="false" ht="15" hidden="false" customHeight="false" outlineLevel="0" collapsed="false">
      <c r="A8" s="37" t="n">
        <v>7</v>
      </c>
      <c r="B8" s="25" t="s">
        <v>50</v>
      </c>
      <c r="C8" s="37" t="s">
        <v>11</v>
      </c>
    </row>
    <row r="9" customFormat="false" ht="15" hidden="false" customHeight="false" outlineLevel="0" collapsed="false">
      <c r="A9" s="31" t="n">
        <v>8</v>
      </c>
      <c r="B9" s="32" t="s">
        <v>52</v>
      </c>
      <c r="C9" s="31" t="s">
        <v>11</v>
      </c>
    </row>
    <row r="10" customFormat="false" ht="15" hidden="false" customHeight="false" outlineLevel="0" collapsed="false">
      <c r="A10" s="37" t="n">
        <v>9</v>
      </c>
      <c r="B10" s="25" t="s">
        <v>54</v>
      </c>
      <c r="C10" s="37" t="s">
        <v>11</v>
      </c>
    </row>
    <row r="11" customFormat="false" ht="15" hidden="false" customHeight="false" outlineLevel="0" collapsed="false">
      <c r="A11" s="31" t="n">
        <v>10</v>
      </c>
      <c r="B11" s="32" t="s">
        <v>56</v>
      </c>
      <c r="C11" s="31" t="s">
        <v>11</v>
      </c>
    </row>
    <row r="12" customFormat="false" ht="15" hidden="false" customHeight="false" outlineLevel="0" collapsed="false">
      <c r="A12" s="37" t="n">
        <v>11</v>
      </c>
      <c r="B12" s="25" t="s">
        <v>58</v>
      </c>
      <c r="C12" s="37" t="s">
        <v>11</v>
      </c>
    </row>
    <row r="13" customFormat="false" ht="15" hidden="false" customHeight="false" outlineLevel="0" collapsed="false">
      <c r="A13" s="31" t="n">
        <v>12</v>
      </c>
      <c r="B13" s="32" t="s">
        <v>60</v>
      </c>
      <c r="C13" s="31" t="s">
        <v>11</v>
      </c>
    </row>
    <row r="14" customFormat="false" ht="15" hidden="false" customHeight="false" outlineLevel="0" collapsed="false">
      <c r="A14" s="37" t="n">
        <v>13</v>
      </c>
      <c r="B14" s="25" t="s">
        <v>62</v>
      </c>
      <c r="C14" s="37" t="s">
        <v>11</v>
      </c>
    </row>
    <row r="15" customFormat="false" ht="15" hidden="false" customHeight="false" outlineLevel="0" collapsed="false">
      <c r="A15" s="31" t="n">
        <v>14</v>
      </c>
      <c r="B15" s="32" t="s">
        <v>64</v>
      </c>
      <c r="C15" s="31" t="s">
        <v>8</v>
      </c>
    </row>
    <row r="16" customFormat="false" ht="15" hidden="false" customHeight="false" outlineLevel="0" collapsed="false">
      <c r="A16" s="37" t="n">
        <v>15</v>
      </c>
      <c r="B16" s="25" t="s">
        <v>66</v>
      </c>
      <c r="C16" s="37" t="s">
        <v>8</v>
      </c>
    </row>
    <row r="17" customFormat="false" ht="15" hidden="false" customHeight="false" outlineLevel="0" collapsed="false">
      <c r="A17" s="31" t="n">
        <v>16</v>
      </c>
      <c r="B17" s="32" t="s">
        <v>68</v>
      </c>
      <c r="C17" s="31" t="s">
        <v>8</v>
      </c>
    </row>
    <row r="18" customFormat="false" ht="15" hidden="false" customHeight="false" outlineLevel="0" collapsed="false">
      <c r="A18" s="37" t="n">
        <v>17</v>
      </c>
      <c r="B18" s="25" t="s">
        <v>70</v>
      </c>
      <c r="C18" s="37" t="s">
        <v>8</v>
      </c>
    </row>
    <row r="19" customFormat="false" ht="15" hidden="false" customHeight="false" outlineLevel="0" collapsed="false">
      <c r="A19" s="31" t="n">
        <v>18</v>
      </c>
      <c r="B19" s="32" t="s">
        <v>72</v>
      </c>
      <c r="C19" s="31" t="s">
        <v>8</v>
      </c>
    </row>
    <row r="20" customFormat="false" ht="15" hidden="false" customHeight="false" outlineLevel="0" collapsed="false">
      <c r="A20" s="37" t="n">
        <v>19</v>
      </c>
      <c r="B20" s="25" t="s">
        <v>74</v>
      </c>
      <c r="C20" s="37" t="s">
        <v>8</v>
      </c>
    </row>
    <row r="21" customFormat="false" ht="15" hidden="false" customHeight="false" outlineLevel="0" collapsed="false">
      <c r="A21" s="31" t="n">
        <v>20</v>
      </c>
      <c r="B21" s="32" t="s">
        <v>76</v>
      </c>
      <c r="C21" s="31" t="s">
        <v>8</v>
      </c>
    </row>
    <row r="22" customFormat="false" ht="15" hidden="false" customHeight="false" outlineLevel="0" collapsed="false">
      <c r="A22" s="37" t="n">
        <v>21</v>
      </c>
      <c r="B22" s="25" t="s">
        <v>78</v>
      </c>
      <c r="C22" s="37" t="s">
        <v>8</v>
      </c>
    </row>
    <row r="23" customFormat="false" ht="15" hidden="false" customHeight="false" outlineLevel="0" collapsed="false">
      <c r="A23" s="31" t="n">
        <v>22</v>
      </c>
      <c r="B23" s="32" t="s">
        <v>80</v>
      </c>
      <c r="C23" s="31" t="s">
        <v>8</v>
      </c>
    </row>
    <row r="24" customFormat="false" ht="15" hidden="false" customHeight="false" outlineLevel="0" collapsed="false">
      <c r="A24" s="37" t="n">
        <v>23</v>
      </c>
      <c r="B24" s="25" t="s">
        <v>82</v>
      </c>
      <c r="C24" s="37" t="s">
        <v>9</v>
      </c>
    </row>
    <row r="25" customFormat="false" ht="15" hidden="false" customHeight="false" outlineLevel="0" collapsed="false">
      <c r="A25" s="31" t="n">
        <v>24</v>
      </c>
      <c r="B25" s="32" t="s">
        <v>84</v>
      </c>
      <c r="C25" s="31" t="s">
        <v>9</v>
      </c>
    </row>
    <row r="26" customFormat="false" ht="15" hidden="false" customHeight="false" outlineLevel="0" collapsed="false">
      <c r="A26" s="37" t="n">
        <v>25</v>
      </c>
      <c r="B26" s="25" t="s">
        <v>86</v>
      </c>
      <c r="C26" s="37" t="s">
        <v>9</v>
      </c>
    </row>
    <row r="27" customFormat="false" ht="15" hidden="false" customHeight="false" outlineLevel="0" collapsed="false">
      <c r="A27" s="31" t="n">
        <v>26</v>
      </c>
      <c r="B27" s="32" t="s">
        <v>88</v>
      </c>
      <c r="C27" s="31" t="s">
        <v>12</v>
      </c>
    </row>
    <row r="28" customFormat="false" ht="15" hidden="false" customHeight="false" outlineLevel="0" collapsed="false">
      <c r="A28" s="37" t="n">
        <v>27</v>
      </c>
      <c r="B28" s="25" t="s">
        <v>90</v>
      </c>
      <c r="C28" s="37" t="s">
        <v>12</v>
      </c>
    </row>
    <row r="29" customFormat="false" ht="15" hidden="false" customHeight="false" outlineLevel="0" collapsed="false">
      <c r="A29" s="31" t="n">
        <v>28</v>
      </c>
      <c r="B29" s="32" t="s">
        <v>92</v>
      </c>
      <c r="C29" s="31" t="s">
        <v>12</v>
      </c>
    </row>
  </sheetData>
  <dataValidations count="1">
    <dataValidation allowBlank="false" errorStyle="stop" operator="between" showDropDown="false" showErrorMessage="false" showInputMessage="false" sqref="C2:C29" type="list">
      <formula1>"Career,Finance,Health,Learning,Mindset"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80B9"/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6" min="4" style="0" width="12"/>
  </cols>
  <sheetData>
    <row r="1" customFormat="false" ht="30" hidden="false" customHeight="true" outlineLevel="0" collapsed="false">
      <c r="A1" s="41" t="s">
        <v>31</v>
      </c>
      <c r="B1" s="41" t="s">
        <v>32</v>
      </c>
      <c r="C1" s="41" t="s">
        <v>33</v>
      </c>
      <c r="D1" s="41" t="s">
        <v>34</v>
      </c>
      <c r="E1" s="41" t="s">
        <v>35</v>
      </c>
      <c r="F1" s="41" t="s">
        <v>36</v>
      </c>
    </row>
    <row r="2" customFormat="false" ht="15" hidden="false" customHeight="false" outlineLevel="0" collapsed="false">
      <c r="A2" s="37" t="n">
        <v>1</v>
      </c>
      <c r="B2" s="25" t="str">
        <f aca="false">Tracker!B3</f>
        <v>Morning Exercise</v>
      </c>
      <c r="C2" s="37" t="str">
        <f aca="false">Tracker!C3</f>
        <v>Health</v>
      </c>
      <c r="D2" s="39" t="n">
        <f aca="false">Tracker!AI3</f>
        <v>0</v>
      </c>
      <c r="E2" s="42" t="n">
        <f aca="false">Tracker!AJ3</f>
        <v>0</v>
      </c>
      <c r="F2" s="42" t="n">
        <f aca="false">Tracker!AK3</f>
        <v>0</v>
      </c>
    </row>
    <row r="3" customFormat="false" ht="15" hidden="false" customHeight="false" outlineLevel="0" collapsed="false">
      <c r="A3" s="31" t="n">
        <v>2</v>
      </c>
      <c r="B3" s="32" t="str">
        <f aca="false">Tracker!B4</f>
        <v>Hydration 2L</v>
      </c>
      <c r="C3" s="31" t="str">
        <f aca="false">Tracker!C4</f>
        <v>Health</v>
      </c>
      <c r="D3" s="34" t="n">
        <f aca="false">Tracker!AI4</f>
        <v>0</v>
      </c>
      <c r="E3" s="43" t="n">
        <f aca="false">Tracker!AJ4</f>
        <v>0</v>
      </c>
      <c r="F3" s="43" t="n">
        <f aca="false">Tracker!AK4</f>
        <v>0</v>
      </c>
    </row>
    <row r="4" customFormat="false" ht="15" hidden="false" customHeight="false" outlineLevel="0" collapsed="false">
      <c r="A4" s="37" t="n">
        <v>3</v>
      </c>
      <c r="B4" s="25" t="str">
        <f aca="false">Tracker!B5</f>
        <v>Sleep by 10 pm</v>
      </c>
      <c r="C4" s="37" t="str">
        <f aca="false">Tracker!C5</f>
        <v>Health</v>
      </c>
      <c r="D4" s="39" t="n">
        <f aca="false">Tracker!AI5</f>
        <v>0</v>
      </c>
      <c r="E4" s="42" t="n">
        <f aca="false">Tracker!AJ5</f>
        <v>0</v>
      </c>
      <c r="F4" s="42" t="n">
        <f aca="false">Tracker!AK5</f>
        <v>0</v>
      </c>
    </row>
    <row r="5" customFormat="false" ht="15" hidden="false" customHeight="false" outlineLevel="0" collapsed="false">
      <c r="A5" s="31" t="n">
        <v>4</v>
      </c>
      <c r="B5" s="32" t="str">
        <f aca="false">Tracker!B6</f>
        <v>No Junk Food</v>
      </c>
      <c r="C5" s="31" t="str">
        <f aca="false">Tracker!C6</f>
        <v>Health</v>
      </c>
      <c r="D5" s="34" t="n">
        <f aca="false">Tracker!AI6</f>
        <v>0</v>
      </c>
      <c r="E5" s="43" t="n">
        <f aca="false">Tracker!AJ6</f>
        <v>0</v>
      </c>
      <c r="F5" s="43" t="n">
        <f aca="false">Tracker!AK6</f>
        <v>0</v>
      </c>
    </row>
    <row r="6" customFormat="false" ht="15" hidden="false" customHeight="false" outlineLevel="0" collapsed="false">
      <c r="A6" s="37" t="n">
        <v>5</v>
      </c>
      <c r="B6" s="25" t="str">
        <f aca="false">Tracker!B7</f>
        <v>Walk 10k Steps</v>
      </c>
      <c r="C6" s="37" t="str">
        <f aca="false">Tracker!C7</f>
        <v>Health</v>
      </c>
      <c r="D6" s="39" t="n">
        <f aca="false">Tracker!AI7</f>
        <v>0</v>
      </c>
      <c r="E6" s="42" t="n">
        <f aca="false">Tracker!AJ7</f>
        <v>0</v>
      </c>
      <c r="F6" s="42" t="n">
        <f aca="false">Tracker!AK7</f>
        <v>0</v>
      </c>
    </row>
    <row r="7" customFormat="false" ht="15" hidden="false" customHeight="false" outlineLevel="0" collapsed="false">
      <c r="A7" s="31" t="n">
        <v>6</v>
      </c>
      <c r="B7" s="32" t="str">
        <f aca="false">Tracker!B8</f>
        <v>Cook at Home</v>
      </c>
      <c r="C7" s="31" t="str">
        <f aca="false">Tracker!C8</f>
        <v>Health</v>
      </c>
      <c r="D7" s="34" t="n">
        <f aca="false">Tracker!AI8</f>
        <v>0</v>
      </c>
      <c r="E7" s="43" t="n">
        <f aca="false">Tracker!AJ8</f>
        <v>0</v>
      </c>
      <c r="F7" s="43" t="n">
        <f aca="false">Tracker!AK8</f>
        <v>0</v>
      </c>
    </row>
    <row r="8" customFormat="false" ht="15" hidden="false" customHeight="false" outlineLevel="0" collapsed="false">
      <c r="A8" s="37" t="n">
        <v>7</v>
      </c>
      <c r="B8" s="25" t="str">
        <f aca="false">Tracker!B9</f>
        <v>Read 30 min</v>
      </c>
      <c r="C8" s="37" t="str">
        <f aca="false">Tracker!C9</f>
        <v>Learning</v>
      </c>
      <c r="D8" s="39" t="n">
        <f aca="false">Tracker!AI9</f>
        <v>0</v>
      </c>
      <c r="E8" s="42" t="n">
        <f aca="false">Tracker!AJ9</f>
        <v>0</v>
      </c>
      <c r="F8" s="42" t="n">
        <f aca="false">Tracker!AK9</f>
        <v>0</v>
      </c>
    </row>
    <row r="9" customFormat="false" ht="15" hidden="false" customHeight="false" outlineLevel="0" collapsed="false">
      <c r="A9" s="31" t="n">
        <v>8</v>
      </c>
      <c r="B9" s="32" t="str">
        <f aca="false">Tracker!B10</f>
        <v>Journal</v>
      </c>
      <c r="C9" s="31" t="str">
        <f aca="false">Tracker!C10</f>
        <v>Learning</v>
      </c>
      <c r="D9" s="34" t="n">
        <f aca="false">Tracker!AI10</f>
        <v>0</v>
      </c>
      <c r="E9" s="43" t="n">
        <f aca="false">Tracker!AJ10</f>
        <v>0</v>
      </c>
      <c r="F9" s="43" t="n">
        <f aca="false">Tracker!AK10</f>
        <v>0</v>
      </c>
    </row>
    <row r="10" customFormat="false" ht="15" hidden="false" customHeight="false" outlineLevel="0" collapsed="false">
      <c r="A10" s="37" t="n">
        <v>9</v>
      </c>
      <c r="B10" s="25" t="str">
        <f aca="false">Tracker!B11</f>
        <v>Learn a Language</v>
      </c>
      <c r="C10" s="37" t="str">
        <f aca="false">Tracker!C11</f>
        <v>Learning</v>
      </c>
      <c r="D10" s="39" t="n">
        <f aca="false">Tracker!AI11</f>
        <v>0</v>
      </c>
      <c r="E10" s="42" t="n">
        <f aca="false">Tracker!AJ11</f>
        <v>0</v>
      </c>
      <c r="F10" s="42" t="n">
        <f aca="false">Tracker!AK11</f>
        <v>0</v>
      </c>
    </row>
    <row r="11" customFormat="false" ht="15" hidden="false" customHeight="false" outlineLevel="0" collapsed="false">
      <c r="A11" s="31" t="n">
        <v>10</v>
      </c>
      <c r="B11" s="32" t="str">
        <f aca="false">Tracker!B12</f>
        <v>Gratitude List</v>
      </c>
      <c r="C11" s="31" t="str">
        <f aca="false">Tracker!C12</f>
        <v>Learning</v>
      </c>
      <c r="D11" s="34" t="n">
        <f aca="false">Tracker!AI12</f>
        <v>0</v>
      </c>
      <c r="E11" s="43" t="n">
        <f aca="false">Tracker!AJ12</f>
        <v>0</v>
      </c>
      <c r="F11" s="43" t="n">
        <f aca="false">Tracker!AK12</f>
        <v>0</v>
      </c>
    </row>
    <row r="12" customFormat="false" ht="15" hidden="false" customHeight="false" outlineLevel="0" collapsed="false">
      <c r="A12" s="37" t="n">
        <v>11</v>
      </c>
      <c r="B12" s="25" t="str">
        <f aca="false">Tracker!B13</f>
        <v>Practice a Skill</v>
      </c>
      <c r="C12" s="37" t="str">
        <f aca="false">Tracker!C13</f>
        <v>Learning</v>
      </c>
      <c r="D12" s="39" t="n">
        <f aca="false">Tracker!AI13</f>
        <v>0</v>
      </c>
      <c r="E12" s="42" t="n">
        <f aca="false">Tracker!AJ13</f>
        <v>0</v>
      </c>
      <c r="F12" s="42" t="n">
        <f aca="false">Tracker!AK13</f>
        <v>0</v>
      </c>
    </row>
    <row r="13" customFormat="false" ht="15" hidden="false" customHeight="false" outlineLevel="0" collapsed="false">
      <c r="A13" s="31" t="n">
        <v>12</v>
      </c>
      <c r="B13" s="32" t="str">
        <f aca="false">Tracker!B14</f>
        <v>Creative Work</v>
      </c>
      <c r="C13" s="31" t="str">
        <f aca="false">Tracker!C14</f>
        <v>Learning</v>
      </c>
      <c r="D13" s="34" t="n">
        <f aca="false">Tracker!AI14</f>
        <v>0</v>
      </c>
      <c r="E13" s="43" t="n">
        <f aca="false">Tracker!AJ14</f>
        <v>0</v>
      </c>
      <c r="F13" s="43" t="n">
        <f aca="false">Tracker!AK14</f>
        <v>0</v>
      </c>
    </row>
    <row r="14" customFormat="false" ht="15" hidden="false" customHeight="false" outlineLevel="0" collapsed="false">
      <c r="A14" s="37" t="n">
        <v>13</v>
      </c>
      <c r="B14" s="25" t="str">
        <f aca="false">Tracker!B15</f>
        <v>Learning Module</v>
      </c>
      <c r="C14" s="37" t="str">
        <f aca="false">Tracker!C15</f>
        <v>Learning</v>
      </c>
      <c r="D14" s="39" t="n">
        <f aca="false">Tracker!AI15</f>
        <v>0</v>
      </c>
      <c r="E14" s="42" t="n">
        <f aca="false">Tracker!AJ15</f>
        <v>0</v>
      </c>
      <c r="F14" s="42" t="n">
        <f aca="false">Tracker!AK15</f>
        <v>0</v>
      </c>
    </row>
    <row r="15" customFormat="false" ht="15" hidden="false" customHeight="false" outlineLevel="0" collapsed="false">
      <c r="A15" s="31" t="n">
        <v>14</v>
      </c>
      <c r="B15" s="32" t="str">
        <f aca="false">Tracker!B16</f>
        <v>Deep Work Block</v>
      </c>
      <c r="C15" s="31" t="str">
        <f aca="false">Tracker!C16</f>
        <v>Career</v>
      </c>
      <c r="D15" s="34" t="n">
        <f aca="false">Tracker!AI16</f>
        <v>0</v>
      </c>
      <c r="E15" s="43" t="n">
        <f aca="false">Tracker!AJ16</f>
        <v>0</v>
      </c>
      <c r="F15" s="43" t="n">
        <f aca="false">Tracker!AK16</f>
        <v>0</v>
      </c>
    </row>
    <row r="16" customFormat="false" ht="15" hidden="false" customHeight="false" outlineLevel="0" collapsed="false">
      <c r="A16" s="37" t="n">
        <v>15</v>
      </c>
      <c r="B16" s="25" t="str">
        <f aca="false">Tracker!B17</f>
        <v>Review Goals</v>
      </c>
      <c r="C16" s="37" t="str">
        <f aca="false">Tracker!C17</f>
        <v>Career</v>
      </c>
      <c r="D16" s="39" t="n">
        <f aca="false">Tracker!AI17</f>
        <v>0</v>
      </c>
      <c r="E16" s="42" t="n">
        <f aca="false">Tracker!AJ17</f>
        <v>0</v>
      </c>
      <c r="F16" s="42" t="n">
        <f aca="false">Tracker!AK17</f>
        <v>0</v>
      </c>
    </row>
    <row r="17" customFormat="false" ht="15" hidden="false" customHeight="false" outlineLevel="0" collapsed="false">
      <c r="A17" s="31" t="n">
        <v>16</v>
      </c>
      <c r="B17" s="32" t="str">
        <f aca="false">Tracker!B18</f>
        <v>No Social Media</v>
      </c>
      <c r="C17" s="31" t="str">
        <f aca="false">Tracker!C18</f>
        <v>Career</v>
      </c>
      <c r="D17" s="34" t="n">
        <f aca="false">Tracker!AI18</f>
        <v>0</v>
      </c>
      <c r="E17" s="43" t="n">
        <f aca="false">Tracker!AJ18</f>
        <v>0</v>
      </c>
      <c r="F17" s="43" t="n">
        <f aca="false">Tracker!AK18</f>
        <v>0</v>
      </c>
    </row>
    <row r="18" customFormat="false" ht="15" hidden="false" customHeight="false" outlineLevel="0" collapsed="false">
      <c r="A18" s="37" t="n">
        <v>17</v>
      </c>
      <c r="B18" s="25" t="str">
        <f aca="false">Tracker!B19</f>
        <v>Networking Task</v>
      </c>
      <c r="C18" s="37" t="str">
        <f aca="false">Tracker!C19</f>
        <v>Career</v>
      </c>
      <c r="D18" s="39" t="n">
        <f aca="false">Tracker!AI19</f>
        <v>0</v>
      </c>
      <c r="E18" s="42" t="n">
        <f aca="false">Tracker!AJ19</f>
        <v>0</v>
      </c>
      <c r="F18" s="42" t="n">
        <f aca="false">Tracker!AK19</f>
        <v>0</v>
      </c>
    </row>
    <row r="19" customFormat="false" ht="15" hidden="false" customHeight="false" outlineLevel="0" collapsed="false">
      <c r="A19" s="31" t="n">
        <v>18</v>
      </c>
      <c r="B19" s="32" t="str">
        <f aca="false">Tracker!B20</f>
        <v>Side Project</v>
      </c>
      <c r="C19" s="31" t="str">
        <f aca="false">Tracker!C20</f>
        <v>Career</v>
      </c>
      <c r="D19" s="34" t="n">
        <f aca="false">Tracker!AI20</f>
        <v>0</v>
      </c>
      <c r="E19" s="43" t="n">
        <f aca="false">Tracker!AJ20</f>
        <v>0</v>
      </c>
      <c r="F19" s="43" t="n">
        <f aca="false">Tracker!AK20</f>
        <v>0</v>
      </c>
    </row>
    <row r="20" customFormat="false" ht="15" hidden="false" customHeight="false" outlineLevel="0" collapsed="false">
      <c r="A20" s="37" t="n">
        <v>19</v>
      </c>
      <c r="B20" s="25" t="str">
        <f aca="false">Tracker!B21</f>
        <v>Read Industry News</v>
      </c>
      <c r="C20" s="37" t="str">
        <f aca="false">Tracker!C21</f>
        <v>Career</v>
      </c>
      <c r="D20" s="39" t="n">
        <f aca="false">Tracker!AI21</f>
        <v>0</v>
      </c>
      <c r="E20" s="42" t="n">
        <f aca="false">Tracker!AJ21</f>
        <v>0</v>
      </c>
      <c r="F20" s="42" t="n">
        <f aca="false">Tracker!AK21</f>
        <v>0</v>
      </c>
    </row>
    <row r="21" customFormat="false" ht="15" hidden="false" customHeight="false" outlineLevel="0" collapsed="false">
      <c r="A21" s="31" t="n">
        <v>20</v>
      </c>
      <c r="B21" s="32" t="str">
        <f aca="false">Tracker!B22</f>
        <v>Email Zero</v>
      </c>
      <c r="C21" s="31" t="str">
        <f aca="false">Tracker!C22</f>
        <v>Career</v>
      </c>
      <c r="D21" s="34" t="n">
        <f aca="false">Tracker!AI22</f>
        <v>0</v>
      </c>
      <c r="E21" s="43" t="n">
        <f aca="false">Tracker!AJ22</f>
        <v>0</v>
      </c>
      <c r="F21" s="43" t="n">
        <f aca="false">Tracker!AK22</f>
        <v>0</v>
      </c>
    </row>
    <row r="22" customFormat="false" ht="15" hidden="false" customHeight="false" outlineLevel="0" collapsed="false">
      <c r="A22" s="37" t="n">
        <v>21</v>
      </c>
      <c r="B22" s="25" t="str">
        <f aca="false">Tracker!B23</f>
        <v>Plan Tomorrow</v>
      </c>
      <c r="C22" s="37" t="str">
        <f aca="false">Tracker!C23</f>
        <v>Career</v>
      </c>
      <c r="D22" s="39" t="n">
        <f aca="false">Tracker!AI23</f>
        <v>0</v>
      </c>
      <c r="E22" s="42" t="n">
        <f aca="false">Tracker!AJ23</f>
        <v>0</v>
      </c>
      <c r="F22" s="42" t="n">
        <f aca="false">Tracker!AK23</f>
        <v>0</v>
      </c>
    </row>
    <row r="23" customFormat="false" ht="15" hidden="false" customHeight="false" outlineLevel="0" collapsed="false">
      <c r="A23" s="31" t="n">
        <v>22</v>
      </c>
      <c r="B23" s="32" t="str">
        <f aca="false">Tracker!B24</f>
        <v>Weekly Review</v>
      </c>
      <c r="C23" s="31" t="str">
        <f aca="false">Tracker!C24</f>
        <v>Career</v>
      </c>
      <c r="D23" s="34" t="n">
        <f aca="false">Tracker!AI24</f>
        <v>0</v>
      </c>
      <c r="E23" s="43" t="n">
        <f aca="false">Tracker!AJ24</f>
        <v>0</v>
      </c>
      <c r="F23" s="43" t="n">
        <f aca="false">Tracker!AK24</f>
        <v>0</v>
      </c>
    </row>
    <row r="24" customFormat="false" ht="15" hidden="false" customHeight="false" outlineLevel="0" collapsed="false">
      <c r="A24" s="37" t="n">
        <v>23</v>
      </c>
      <c r="B24" s="25" t="str">
        <f aca="false">Tracker!B25</f>
        <v>Savings Transfer</v>
      </c>
      <c r="C24" s="37" t="str">
        <f aca="false">Tracker!C25</f>
        <v>Finance</v>
      </c>
      <c r="D24" s="39" t="n">
        <f aca="false">Tracker!AI25</f>
        <v>0</v>
      </c>
      <c r="E24" s="42" t="n">
        <f aca="false">Tracker!AJ25</f>
        <v>0</v>
      </c>
      <c r="F24" s="42" t="n">
        <f aca="false">Tracker!AK25</f>
        <v>0</v>
      </c>
    </row>
    <row r="25" customFormat="false" ht="15" hidden="false" customHeight="false" outlineLevel="0" collapsed="false">
      <c r="A25" s="31" t="n">
        <v>24</v>
      </c>
      <c r="B25" s="32" t="str">
        <f aca="false">Tracker!B26</f>
        <v>Track Spending</v>
      </c>
      <c r="C25" s="31" t="str">
        <f aca="false">Tracker!C26</f>
        <v>Finance</v>
      </c>
      <c r="D25" s="34" t="n">
        <f aca="false">Tracker!AI26</f>
        <v>0</v>
      </c>
      <c r="E25" s="43" t="n">
        <f aca="false">Tracker!AJ26</f>
        <v>0</v>
      </c>
      <c r="F25" s="43" t="n">
        <f aca="false">Tracker!AK26</f>
        <v>0</v>
      </c>
    </row>
    <row r="26" customFormat="false" ht="15" hidden="false" customHeight="false" outlineLevel="0" collapsed="false">
      <c r="A26" s="37" t="n">
        <v>25</v>
      </c>
      <c r="B26" s="25" t="str">
        <f aca="false">Tracker!B27</f>
        <v>No Impulse Buys</v>
      </c>
      <c r="C26" s="37" t="str">
        <f aca="false">Tracker!C27</f>
        <v>Finance</v>
      </c>
      <c r="D26" s="39" t="n">
        <f aca="false">Tracker!AI27</f>
        <v>0</v>
      </c>
      <c r="E26" s="42" t="n">
        <f aca="false">Tracker!AJ27</f>
        <v>0</v>
      </c>
      <c r="F26" s="42" t="n">
        <f aca="false">Tracker!AK27</f>
        <v>0</v>
      </c>
    </row>
    <row r="27" customFormat="false" ht="15" hidden="false" customHeight="false" outlineLevel="0" collapsed="false">
      <c r="A27" s="31" t="n">
        <v>26</v>
      </c>
      <c r="B27" s="32" t="str">
        <f aca="false">Tracker!B28</f>
        <v>Affirmations</v>
      </c>
      <c r="C27" s="31" t="str">
        <f aca="false">Tracker!C28</f>
        <v>Mindset</v>
      </c>
      <c r="D27" s="34" t="n">
        <f aca="false">Tracker!AI28</f>
        <v>0</v>
      </c>
      <c r="E27" s="43" t="n">
        <f aca="false">Tracker!AJ28</f>
        <v>0</v>
      </c>
      <c r="F27" s="43" t="n">
        <f aca="false">Tracker!AK28</f>
        <v>0</v>
      </c>
    </row>
    <row r="28" customFormat="false" ht="15" hidden="false" customHeight="false" outlineLevel="0" collapsed="false">
      <c r="A28" s="37" t="n">
        <v>27</v>
      </c>
      <c r="B28" s="25" t="str">
        <f aca="false">Tracker!B29</f>
        <v>Outdoor Time</v>
      </c>
      <c r="C28" s="37" t="str">
        <f aca="false">Tracker!C29</f>
        <v>Mindset</v>
      </c>
      <c r="D28" s="39" t="n">
        <f aca="false">Tracker!AI29</f>
        <v>0</v>
      </c>
      <c r="E28" s="42" t="n">
        <f aca="false">Tracker!AJ29</f>
        <v>0</v>
      </c>
      <c r="F28" s="42" t="n">
        <f aca="false">Tracker!AK29</f>
        <v>0</v>
      </c>
    </row>
    <row r="29" customFormat="false" ht="15" hidden="false" customHeight="false" outlineLevel="0" collapsed="false">
      <c r="A29" s="31" t="n">
        <v>28</v>
      </c>
      <c r="B29" s="32" t="str">
        <f aca="false">Tracker!B30</f>
        <v>Digital Detox</v>
      </c>
      <c r="C29" s="31" t="str">
        <f aca="false">Tracker!C30</f>
        <v>Mindset</v>
      </c>
      <c r="D29" s="34" t="n">
        <f aca="false">Tracker!AI30</f>
        <v>0</v>
      </c>
      <c r="E29" s="43" t="n">
        <f aca="false">Tracker!AJ30</f>
        <v>0</v>
      </c>
      <c r="F29" s="43" t="n">
        <f aca="false">Tracker!AK30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E9E9E"/>
    <pageSetUpPr fitToPage="false"/>
  </sheetPr>
  <dimension ref="A1:Q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5" min="5" style="0" width="28"/>
    <col collapsed="false" customWidth="true" hidden="false" outlineLevel="0" max="7" min="6" style="0" width="14"/>
    <col collapsed="false" customWidth="true" hidden="false" outlineLevel="0" max="9" min="9" style="0" width="28"/>
    <col collapsed="false" customWidth="true" hidden="false" outlineLevel="0" max="11" min="10" style="0" width="14"/>
    <col collapsed="false" customWidth="true" hidden="false" outlineLevel="0" max="13" min="13" style="0" width="14"/>
    <col collapsed="false" customWidth="true" hidden="false" outlineLevel="0" max="14" min="14" style="0" width="16"/>
    <col collapsed="false" customWidth="true" hidden="false" outlineLevel="0" max="17" min="16" style="0" width="12"/>
  </cols>
  <sheetData>
    <row r="1" customFormat="false" ht="23.85" hidden="false" customHeight="false" outlineLevel="0" collapsed="false">
      <c r="A1" s="44" t="s">
        <v>96</v>
      </c>
      <c r="B1" s="44" t="s">
        <v>97</v>
      </c>
      <c r="C1" s="44" t="s">
        <v>98</v>
      </c>
      <c r="E1" s="44" t="s">
        <v>95</v>
      </c>
      <c r="F1" s="44" t="s">
        <v>99</v>
      </c>
      <c r="G1" s="44" t="s">
        <v>33</v>
      </c>
      <c r="I1" s="44" t="s">
        <v>32</v>
      </c>
      <c r="J1" s="44" t="s">
        <v>100</v>
      </c>
      <c r="K1" s="44" t="s">
        <v>101</v>
      </c>
      <c r="M1" s="44" t="s">
        <v>33</v>
      </c>
      <c r="N1" s="44" t="s">
        <v>102</v>
      </c>
      <c r="P1" s="45" t="s">
        <v>103</v>
      </c>
      <c r="Q1" s="45" t="s">
        <v>104</v>
      </c>
    </row>
    <row r="2" customFormat="false" ht="15" hidden="false" customHeight="false" outlineLevel="0" collapsed="false">
      <c r="A2" s="0" t="n">
        <v>1</v>
      </c>
      <c r="B2" s="46" t="n">
        <f aca="false">IFERROR(COUNTIF(Tracker!D3:D30,TRUE())/28,0)</f>
        <v>0</v>
      </c>
      <c r="C2" s="46" t="n">
        <f aca="false">IFERROR(AVERAGE(B2:B2),0)</f>
        <v>0</v>
      </c>
      <c r="E2" s="0" t="str">
        <f aca="false">Tracker!B3</f>
        <v>Morning Exercise</v>
      </c>
      <c r="F2" s="46" t="n">
        <f aca="false">Tracker!AI3</f>
        <v>0</v>
      </c>
      <c r="G2" s="0" t="str">
        <f aca="false">Tracker!C3</f>
        <v>Health</v>
      </c>
      <c r="I2" s="0" t="str">
        <f aca="false">Tracker!B3</f>
        <v>Morning Exercise</v>
      </c>
      <c r="J2" s="47" t="n">
        <f aca="false">Tracker!AJ3</f>
        <v>0</v>
      </c>
      <c r="K2" s="47" t="n">
        <f aca="false">Tracker!AK3</f>
        <v>0</v>
      </c>
      <c r="M2" s="47" t="s">
        <v>8</v>
      </c>
      <c r="N2" s="46" t="n">
        <f aca="false">IFERROR(AVERAGEIF(Helper!G2:G29,M2,Helper!F2:F29),0)</f>
        <v>0</v>
      </c>
      <c r="P2" s="47" t="s">
        <v>105</v>
      </c>
      <c r="Q2" s="48" t="n">
        <f aca="false">IFERROR(AVERAGE(Tracker!AI3:AI30),0)</f>
        <v>0</v>
      </c>
    </row>
    <row r="3" customFormat="false" ht="15" hidden="false" customHeight="false" outlineLevel="0" collapsed="false">
      <c r="A3" s="0" t="n">
        <v>2</v>
      </c>
      <c r="B3" s="46" t="n">
        <f aca="false">IFERROR(COUNTIF(Tracker!E3:E30,TRUE())/28,0)</f>
        <v>0</v>
      </c>
      <c r="C3" s="46" t="n">
        <f aca="false">IFERROR(AVERAGE(B2:B3),0)</f>
        <v>0</v>
      </c>
      <c r="E3" s="0" t="str">
        <f aca="false">Tracker!B4</f>
        <v>Hydration 2L</v>
      </c>
      <c r="F3" s="46" t="n">
        <f aca="false">Tracker!AI4</f>
        <v>0</v>
      </c>
      <c r="G3" s="0" t="str">
        <f aca="false">Tracker!C4</f>
        <v>Health</v>
      </c>
      <c r="I3" s="0" t="str">
        <f aca="false">Tracker!B4</f>
        <v>Hydration 2L</v>
      </c>
      <c r="J3" s="47" t="n">
        <f aca="false">Tracker!AJ4</f>
        <v>0</v>
      </c>
      <c r="K3" s="47" t="n">
        <f aca="false">Tracker!AK4</f>
        <v>0</v>
      </c>
      <c r="M3" s="47" t="s">
        <v>9</v>
      </c>
      <c r="N3" s="46" t="n">
        <f aca="false">IFERROR(AVERAGEIF(Helper!G2:G29,M3,Helper!F2:F29),0)</f>
        <v>0</v>
      </c>
      <c r="P3" s="47" t="s">
        <v>106</v>
      </c>
      <c r="Q3" s="48" t="n">
        <f aca="false">IFERROR(1-Q2,1)</f>
        <v>1</v>
      </c>
    </row>
    <row r="4" customFormat="false" ht="15" hidden="false" customHeight="false" outlineLevel="0" collapsed="false">
      <c r="A4" s="0" t="n">
        <v>3</v>
      </c>
      <c r="B4" s="46" t="n">
        <f aca="false">IFERROR(COUNTIF(Tracker!F3:F30,TRUE())/28,0)</f>
        <v>0</v>
      </c>
      <c r="C4" s="46" t="n">
        <f aca="false">IFERROR(AVERAGE(B2:B4),0)</f>
        <v>0</v>
      </c>
      <c r="E4" s="0" t="str">
        <f aca="false">Tracker!B5</f>
        <v>Sleep by 10 pm</v>
      </c>
      <c r="F4" s="46" t="n">
        <f aca="false">Tracker!AI5</f>
        <v>0</v>
      </c>
      <c r="G4" s="0" t="str">
        <f aca="false">Tracker!C5</f>
        <v>Health</v>
      </c>
      <c r="I4" s="0" t="str">
        <f aca="false">Tracker!B5</f>
        <v>Sleep by 10 pm</v>
      </c>
      <c r="J4" s="47" t="n">
        <f aca="false">Tracker!AJ5</f>
        <v>0</v>
      </c>
      <c r="K4" s="47" t="n">
        <f aca="false">Tracker!AK5</f>
        <v>0</v>
      </c>
      <c r="M4" s="47" t="s">
        <v>10</v>
      </c>
      <c r="N4" s="46" t="n">
        <f aca="false">IFERROR(AVERAGEIF(Helper!G2:G29,M4,Helper!F2:F29),0)</f>
        <v>0</v>
      </c>
    </row>
    <row r="5" customFormat="false" ht="15" hidden="false" customHeight="false" outlineLevel="0" collapsed="false">
      <c r="A5" s="0" t="n">
        <v>4</v>
      </c>
      <c r="B5" s="46" t="n">
        <f aca="false">IFERROR(COUNTIF(Tracker!G3:G30,TRUE())/28,0)</f>
        <v>0</v>
      </c>
      <c r="C5" s="46" t="n">
        <f aca="false">IFERROR(AVERAGE(B2:B5),0)</f>
        <v>0</v>
      </c>
      <c r="E5" s="0" t="str">
        <f aca="false">Tracker!B6</f>
        <v>No Junk Food</v>
      </c>
      <c r="F5" s="46" t="n">
        <f aca="false">Tracker!AI6</f>
        <v>0</v>
      </c>
      <c r="G5" s="0" t="str">
        <f aca="false">Tracker!C6</f>
        <v>Health</v>
      </c>
      <c r="I5" s="0" t="str">
        <f aca="false">Tracker!B6</f>
        <v>No Junk Food</v>
      </c>
      <c r="J5" s="47" t="n">
        <f aca="false">Tracker!AJ6</f>
        <v>0</v>
      </c>
      <c r="K5" s="47" t="n">
        <f aca="false">Tracker!AK6</f>
        <v>0</v>
      </c>
      <c r="M5" s="47" t="s">
        <v>11</v>
      </c>
      <c r="N5" s="46" t="n">
        <f aca="false">IFERROR(AVERAGEIF(Helper!G2:G29,M5,Helper!F2:F29),0)</f>
        <v>0</v>
      </c>
    </row>
    <row r="6" customFormat="false" ht="15" hidden="false" customHeight="false" outlineLevel="0" collapsed="false">
      <c r="A6" s="0" t="n">
        <v>5</v>
      </c>
      <c r="B6" s="46" t="n">
        <f aca="false">IFERROR(COUNTIF(Tracker!H3:H30,TRUE())/28,0)</f>
        <v>0</v>
      </c>
      <c r="C6" s="46" t="n">
        <f aca="false">IFERROR(AVERAGE(B2:B6),0)</f>
        <v>0</v>
      </c>
      <c r="E6" s="0" t="str">
        <f aca="false">Tracker!B7</f>
        <v>Walk 10k Steps</v>
      </c>
      <c r="F6" s="46" t="n">
        <f aca="false">Tracker!AI7</f>
        <v>0</v>
      </c>
      <c r="G6" s="0" t="str">
        <f aca="false">Tracker!C7</f>
        <v>Health</v>
      </c>
      <c r="I6" s="0" t="str">
        <f aca="false">Tracker!B7</f>
        <v>Walk 10k Steps</v>
      </c>
      <c r="J6" s="47" t="n">
        <f aca="false">Tracker!AJ7</f>
        <v>0</v>
      </c>
      <c r="K6" s="47" t="n">
        <f aca="false">Tracker!AK7</f>
        <v>0</v>
      </c>
      <c r="M6" s="47" t="s">
        <v>12</v>
      </c>
      <c r="N6" s="46" t="n">
        <f aca="false">IFERROR(AVERAGEIF(Helper!G2:G29,M6,Helper!F2:F29),0)</f>
        <v>0</v>
      </c>
    </row>
    <row r="7" customFormat="false" ht="15" hidden="false" customHeight="false" outlineLevel="0" collapsed="false">
      <c r="A7" s="0" t="n">
        <v>6</v>
      </c>
      <c r="B7" s="46" t="n">
        <f aca="false">IFERROR(COUNTIF(Tracker!I3:I30,TRUE())/28,0)</f>
        <v>0</v>
      </c>
      <c r="C7" s="46" t="n">
        <f aca="false">IFERROR(AVERAGE(B2:B7),0)</f>
        <v>0</v>
      </c>
      <c r="E7" s="0" t="str">
        <f aca="false">Tracker!B8</f>
        <v>Cook at Home</v>
      </c>
      <c r="F7" s="46" t="n">
        <f aca="false">Tracker!AI8</f>
        <v>0</v>
      </c>
      <c r="G7" s="0" t="str">
        <f aca="false">Tracker!C8</f>
        <v>Health</v>
      </c>
      <c r="I7" s="0" t="str">
        <f aca="false">Tracker!B8</f>
        <v>Cook at Home</v>
      </c>
      <c r="J7" s="47" t="n">
        <f aca="false">Tracker!AJ8</f>
        <v>0</v>
      </c>
      <c r="K7" s="47" t="n">
        <f aca="false">Tracker!AK8</f>
        <v>0</v>
      </c>
    </row>
    <row r="8" customFormat="false" ht="15" hidden="false" customHeight="false" outlineLevel="0" collapsed="false">
      <c r="A8" s="0" t="n">
        <v>7</v>
      </c>
      <c r="B8" s="46" t="n">
        <f aca="false">IFERROR(COUNTIF(Tracker!J3:J30,TRUE())/28,0)</f>
        <v>0</v>
      </c>
      <c r="C8" s="46" t="n">
        <f aca="false">IFERROR(AVERAGE(B2:B8),0)</f>
        <v>0</v>
      </c>
      <c r="E8" s="0" t="str">
        <f aca="false">Tracker!B9</f>
        <v>Read 30 min</v>
      </c>
      <c r="F8" s="46" t="n">
        <f aca="false">Tracker!AI9</f>
        <v>0</v>
      </c>
      <c r="G8" s="0" t="str">
        <f aca="false">Tracker!C9</f>
        <v>Learning</v>
      </c>
      <c r="I8" s="0" t="str">
        <f aca="false">Tracker!B9</f>
        <v>Read 30 min</v>
      </c>
      <c r="J8" s="47" t="n">
        <f aca="false">Tracker!AJ9</f>
        <v>0</v>
      </c>
      <c r="K8" s="47" t="n">
        <f aca="false">Tracker!AK9</f>
        <v>0</v>
      </c>
    </row>
    <row r="9" customFormat="false" ht="15" hidden="false" customHeight="false" outlineLevel="0" collapsed="false">
      <c r="A9" s="0" t="n">
        <v>8</v>
      </c>
      <c r="B9" s="46" t="n">
        <f aca="false">IFERROR(COUNTIF(Tracker!K3:K30,TRUE())/28,0)</f>
        <v>0</v>
      </c>
      <c r="C9" s="46" t="n">
        <f aca="false">IFERROR(AVERAGE(B3:B9),0)</f>
        <v>0</v>
      </c>
      <c r="E9" s="0" t="str">
        <f aca="false">Tracker!B10</f>
        <v>Journal</v>
      </c>
      <c r="F9" s="46" t="n">
        <f aca="false">Tracker!AI10</f>
        <v>0</v>
      </c>
      <c r="G9" s="0" t="str">
        <f aca="false">Tracker!C10</f>
        <v>Learning</v>
      </c>
      <c r="I9" s="0" t="str">
        <f aca="false">Tracker!B10</f>
        <v>Journal</v>
      </c>
      <c r="J9" s="47" t="n">
        <f aca="false">Tracker!AJ10</f>
        <v>0</v>
      </c>
      <c r="K9" s="47" t="n">
        <f aca="false">Tracker!AK10</f>
        <v>0</v>
      </c>
    </row>
    <row r="10" customFormat="false" ht="15" hidden="false" customHeight="false" outlineLevel="0" collapsed="false">
      <c r="A10" s="0" t="n">
        <v>9</v>
      </c>
      <c r="B10" s="46" t="n">
        <f aca="false">IFERROR(COUNTIF(Tracker!L3:L30,TRUE())/28,0)</f>
        <v>0</v>
      </c>
      <c r="C10" s="46" t="n">
        <f aca="false">IFERROR(AVERAGE(B4:B10),0)</f>
        <v>0</v>
      </c>
      <c r="E10" s="0" t="str">
        <f aca="false">Tracker!B11</f>
        <v>Learn a Language</v>
      </c>
      <c r="F10" s="46" t="n">
        <f aca="false">Tracker!AI11</f>
        <v>0</v>
      </c>
      <c r="G10" s="0" t="str">
        <f aca="false">Tracker!C11</f>
        <v>Learning</v>
      </c>
      <c r="I10" s="0" t="str">
        <f aca="false">Tracker!B11</f>
        <v>Learn a Language</v>
      </c>
      <c r="J10" s="47" t="n">
        <f aca="false">Tracker!AJ11</f>
        <v>0</v>
      </c>
      <c r="K10" s="47" t="n">
        <f aca="false">Tracker!AK11</f>
        <v>0</v>
      </c>
    </row>
    <row r="11" customFormat="false" ht="15" hidden="false" customHeight="false" outlineLevel="0" collapsed="false">
      <c r="A11" s="0" t="n">
        <v>10</v>
      </c>
      <c r="B11" s="46" t="n">
        <f aca="false">IFERROR(COUNTIF(Tracker!M3:M30,TRUE())/28,0)</f>
        <v>0</v>
      </c>
      <c r="C11" s="46" t="n">
        <f aca="false">IFERROR(AVERAGE(B5:B11),0)</f>
        <v>0</v>
      </c>
      <c r="E11" s="0" t="str">
        <f aca="false">Tracker!B12</f>
        <v>Gratitude List</v>
      </c>
      <c r="F11" s="46" t="n">
        <f aca="false">Tracker!AI12</f>
        <v>0</v>
      </c>
      <c r="G11" s="0" t="str">
        <f aca="false">Tracker!C12</f>
        <v>Learning</v>
      </c>
      <c r="I11" s="0" t="str">
        <f aca="false">Tracker!B12</f>
        <v>Gratitude List</v>
      </c>
      <c r="J11" s="47" t="n">
        <f aca="false">Tracker!AJ12</f>
        <v>0</v>
      </c>
      <c r="K11" s="47" t="n">
        <f aca="false">Tracker!AK12</f>
        <v>0</v>
      </c>
    </row>
    <row r="12" customFormat="false" ht="15" hidden="false" customHeight="false" outlineLevel="0" collapsed="false">
      <c r="A12" s="0" t="n">
        <v>11</v>
      </c>
      <c r="B12" s="46" t="n">
        <f aca="false">IFERROR(COUNTIF(Tracker!N3:N30,TRUE())/28,0)</f>
        <v>0</v>
      </c>
      <c r="C12" s="46" t="n">
        <f aca="false">IFERROR(AVERAGE(B6:B12),0)</f>
        <v>0</v>
      </c>
      <c r="E12" s="0" t="str">
        <f aca="false">Tracker!B13</f>
        <v>Practice a Skill</v>
      </c>
      <c r="F12" s="46" t="n">
        <f aca="false">Tracker!AI13</f>
        <v>0</v>
      </c>
      <c r="G12" s="0" t="str">
        <f aca="false">Tracker!C13</f>
        <v>Learning</v>
      </c>
      <c r="I12" s="0" t="str">
        <f aca="false">Tracker!B13</f>
        <v>Practice a Skill</v>
      </c>
      <c r="J12" s="47" t="n">
        <f aca="false">Tracker!AJ13</f>
        <v>0</v>
      </c>
      <c r="K12" s="47" t="n">
        <f aca="false">Tracker!AK13</f>
        <v>0</v>
      </c>
    </row>
    <row r="13" customFormat="false" ht="15" hidden="false" customHeight="false" outlineLevel="0" collapsed="false">
      <c r="A13" s="0" t="n">
        <v>12</v>
      </c>
      <c r="B13" s="46" t="n">
        <f aca="false">IFERROR(COUNTIF(Tracker!O3:O30,TRUE())/28,0)</f>
        <v>0</v>
      </c>
      <c r="C13" s="46" t="n">
        <f aca="false">IFERROR(AVERAGE(B7:B13),0)</f>
        <v>0</v>
      </c>
      <c r="E13" s="0" t="str">
        <f aca="false">Tracker!B14</f>
        <v>Creative Work</v>
      </c>
      <c r="F13" s="46" t="n">
        <f aca="false">Tracker!AI14</f>
        <v>0</v>
      </c>
      <c r="G13" s="0" t="str">
        <f aca="false">Tracker!C14</f>
        <v>Learning</v>
      </c>
      <c r="I13" s="0" t="str">
        <f aca="false">Tracker!B14</f>
        <v>Creative Work</v>
      </c>
      <c r="J13" s="47" t="n">
        <f aca="false">Tracker!AJ14</f>
        <v>0</v>
      </c>
      <c r="K13" s="47" t="n">
        <f aca="false">Tracker!AK14</f>
        <v>0</v>
      </c>
    </row>
    <row r="14" customFormat="false" ht="15" hidden="false" customHeight="false" outlineLevel="0" collapsed="false">
      <c r="A14" s="0" t="n">
        <v>13</v>
      </c>
      <c r="B14" s="46" t="n">
        <f aca="false">IFERROR(COUNTIF(Tracker!P3:P30,TRUE())/28,0)</f>
        <v>0</v>
      </c>
      <c r="C14" s="46" t="n">
        <f aca="false">IFERROR(AVERAGE(B8:B14),0)</f>
        <v>0</v>
      </c>
      <c r="E14" s="0" t="str">
        <f aca="false">Tracker!B15</f>
        <v>Learning Module</v>
      </c>
      <c r="F14" s="46" t="n">
        <f aca="false">Tracker!AI15</f>
        <v>0</v>
      </c>
      <c r="G14" s="0" t="str">
        <f aca="false">Tracker!C15</f>
        <v>Learning</v>
      </c>
      <c r="I14" s="0" t="str">
        <f aca="false">Tracker!B15</f>
        <v>Learning Module</v>
      </c>
      <c r="J14" s="47" t="n">
        <f aca="false">Tracker!AJ15</f>
        <v>0</v>
      </c>
      <c r="K14" s="47" t="n">
        <f aca="false">Tracker!AK15</f>
        <v>0</v>
      </c>
    </row>
    <row r="15" customFormat="false" ht="15" hidden="false" customHeight="false" outlineLevel="0" collapsed="false">
      <c r="A15" s="0" t="n">
        <v>14</v>
      </c>
      <c r="B15" s="46" t="n">
        <f aca="false">IFERROR(COUNTIF(Tracker!Q3:Q30,TRUE())/28,0)</f>
        <v>0</v>
      </c>
      <c r="C15" s="46" t="n">
        <f aca="false">IFERROR(AVERAGE(B9:B15),0)</f>
        <v>0</v>
      </c>
      <c r="E15" s="0" t="str">
        <f aca="false">Tracker!B16</f>
        <v>Deep Work Block</v>
      </c>
      <c r="F15" s="46" t="n">
        <f aca="false">Tracker!AI16</f>
        <v>0</v>
      </c>
      <c r="G15" s="0" t="str">
        <f aca="false">Tracker!C16</f>
        <v>Career</v>
      </c>
      <c r="I15" s="0" t="str">
        <f aca="false">Tracker!B16</f>
        <v>Deep Work Block</v>
      </c>
      <c r="J15" s="47" t="n">
        <f aca="false">Tracker!AJ16</f>
        <v>0</v>
      </c>
      <c r="K15" s="47" t="n">
        <f aca="false">Tracker!AK16</f>
        <v>0</v>
      </c>
    </row>
    <row r="16" customFormat="false" ht="15" hidden="false" customHeight="false" outlineLevel="0" collapsed="false">
      <c r="A16" s="0" t="n">
        <v>15</v>
      </c>
      <c r="B16" s="46" t="n">
        <f aca="false">IFERROR(COUNTIF(Tracker!R3:R30,TRUE())/28,0)</f>
        <v>0</v>
      </c>
      <c r="C16" s="46" t="n">
        <f aca="false">IFERROR(AVERAGE(B10:B16),0)</f>
        <v>0</v>
      </c>
      <c r="E16" s="0" t="str">
        <f aca="false">Tracker!B17</f>
        <v>Review Goals</v>
      </c>
      <c r="F16" s="46" t="n">
        <f aca="false">Tracker!AI17</f>
        <v>0</v>
      </c>
      <c r="G16" s="0" t="str">
        <f aca="false">Tracker!C17</f>
        <v>Career</v>
      </c>
      <c r="I16" s="0" t="str">
        <f aca="false">Tracker!B17</f>
        <v>Review Goals</v>
      </c>
      <c r="J16" s="47" t="n">
        <f aca="false">Tracker!AJ17</f>
        <v>0</v>
      </c>
      <c r="K16" s="47" t="n">
        <f aca="false">Tracker!AK17</f>
        <v>0</v>
      </c>
    </row>
    <row r="17" customFormat="false" ht="15" hidden="false" customHeight="false" outlineLevel="0" collapsed="false">
      <c r="A17" s="0" t="n">
        <v>16</v>
      </c>
      <c r="B17" s="46" t="n">
        <f aca="false">IFERROR(COUNTIF(Tracker!S3:S30,TRUE())/28,0)</f>
        <v>0</v>
      </c>
      <c r="C17" s="46" t="n">
        <f aca="false">IFERROR(AVERAGE(B11:B17),0)</f>
        <v>0</v>
      </c>
      <c r="E17" s="0" t="str">
        <f aca="false">Tracker!B18</f>
        <v>No Social Media</v>
      </c>
      <c r="F17" s="46" t="n">
        <f aca="false">Tracker!AI18</f>
        <v>0</v>
      </c>
      <c r="G17" s="0" t="str">
        <f aca="false">Tracker!C18</f>
        <v>Career</v>
      </c>
      <c r="I17" s="0" t="str">
        <f aca="false">Tracker!B18</f>
        <v>No Social Media</v>
      </c>
      <c r="J17" s="47" t="n">
        <f aca="false">Tracker!AJ18</f>
        <v>0</v>
      </c>
      <c r="K17" s="47" t="n">
        <f aca="false">Tracker!AK18</f>
        <v>0</v>
      </c>
    </row>
    <row r="18" customFormat="false" ht="15" hidden="false" customHeight="false" outlineLevel="0" collapsed="false">
      <c r="A18" s="0" t="n">
        <v>17</v>
      </c>
      <c r="B18" s="46" t="n">
        <f aca="false">IFERROR(COUNTIF(Tracker!T3:T30,TRUE())/28,0)</f>
        <v>0</v>
      </c>
      <c r="C18" s="46" t="n">
        <f aca="false">IFERROR(AVERAGE(B12:B18),0)</f>
        <v>0</v>
      </c>
      <c r="E18" s="0" t="str">
        <f aca="false">Tracker!B19</f>
        <v>Networking Task</v>
      </c>
      <c r="F18" s="46" t="n">
        <f aca="false">Tracker!AI19</f>
        <v>0</v>
      </c>
      <c r="G18" s="0" t="str">
        <f aca="false">Tracker!C19</f>
        <v>Career</v>
      </c>
      <c r="I18" s="0" t="str">
        <f aca="false">Tracker!B19</f>
        <v>Networking Task</v>
      </c>
      <c r="J18" s="47" t="n">
        <f aca="false">Tracker!AJ19</f>
        <v>0</v>
      </c>
      <c r="K18" s="47" t="n">
        <f aca="false">Tracker!AK19</f>
        <v>0</v>
      </c>
    </row>
    <row r="19" customFormat="false" ht="15" hidden="false" customHeight="false" outlineLevel="0" collapsed="false">
      <c r="A19" s="0" t="n">
        <v>18</v>
      </c>
      <c r="B19" s="46" t="n">
        <f aca="false">IFERROR(COUNTIF(Tracker!U3:U30,TRUE())/28,0)</f>
        <v>0</v>
      </c>
      <c r="C19" s="46" t="n">
        <f aca="false">IFERROR(AVERAGE(B13:B19),0)</f>
        <v>0</v>
      </c>
      <c r="E19" s="0" t="str">
        <f aca="false">Tracker!B20</f>
        <v>Side Project</v>
      </c>
      <c r="F19" s="46" t="n">
        <f aca="false">Tracker!AI20</f>
        <v>0</v>
      </c>
      <c r="G19" s="0" t="str">
        <f aca="false">Tracker!C20</f>
        <v>Career</v>
      </c>
      <c r="I19" s="0" t="str">
        <f aca="false">Tracker!B20</f>
        <v>Side Project</v>
      </c>
      <c r="J19" s="47" t="n">
        <f aca="false">Tracker!AJ20</f>
        <v>0</v>
      </c>
      <c r="K19" s="47" t="n">
        <f aca="false">Tracker!AK20</f>
        <v>0</v>
      </c>
    </row>
    <row r="20" customFormat="false" ht="15" hidden="false" customHeight="false" outlineLevel="0" collapsed="false">
      <c r="A20" s="0" t="n">
        <v>19</v>
      </c>
      <c r="B20" s="46" t="n">
        <f aca="false">IFERROR(COUNTIF(Tracker!V3:V30,TRUE())/28,0)</f>
        <v>0</v>
      </c>
      <c r="C20" s="46" t="n">
        <f aca="false">IFERROR(AVERAGE(B14:B20),0)</f>
        <v>0</v>
      </c>
      <c r="E20" s="0" t="str">
        <f aca="false">Tracker!B21</f>
        <v>Read Industry News</v>
      </c>
      <c r="F20" s="46" t="n">
        <f aca="false">Tracker!AI21</f>
        <v>0</v>
      </c>
      <c r="G20" s="0" t="str">
        <f aca="false">Tracker!C21</f>
        <v>Career</v>
      </c>
      <c r="I20" s="0" t="str">
        <f aca="false">Tracker!B21</f>
        <v>Read Industry News</v>
      </c>
      <c r="J20" s="47" t="n">
        <f aca="false">Tracker!AJ21</f>
        <v>0</v>
      </c>
      <c r="K20" s="47" t="n">
        <f aca="false">Tracker!AK21</f>
        <v>0</v>
      </c>
    </row>
    <row r="21" customFormat="false" ht="15" hidden="false" customHeight="false" outlineLevel="0" collapsed="false">
      <c r="A21" s="0" t="n">
        <v>20</v>
      </c>
      <c r="B21" s="46" t="n">
        <f aca="false">IFERROR(COUNTIF(Tracker!W3:W30,TRUE())/28,0)</f>
        <v>0</v>
      </c>
      <c r="C21" s="46" t="n">
        <f aca="false">IFERROR(AVERAGE(B15:B21),0)</f>
        <v>0</v>
      </c>
      <c r="E21" s="0" t="str">
        <f aca="false">Tracker!B22</f>
        <v>Email Zero</v>
      </c>
      <c r="F21" s="46" t="n">
        <f aca="false">Tracker!AI22</f>
        <v>0</v>
      </c>
      <c r="G21" s="0" t="str">
        <f aca="false">Tracker!C22</f>
        <v>Career</v>
      </c>
      <c r="I21" s="0" t="str">
        <f aca="false">Tracker!B22</f>
        <v>Email Zero</v>
      </c>
      <c r="J21" s="47" t="n">
        <f aca="false">Tracker!AJ22</f>
        <v>0</v>
      </c>
      <c r="K21" s="47" t="n">
        <f aca="false">Tracker!AK22</f>
        <v>0</v>
      </c>
    </row>
    <row r="22" customFormat="false" ht="15" hidden="false" customHeight="false" outlineLevel="0" collapsed="false">
      <c r="A22" s="0" t="n">
        <v>21</v>
      </c>
      <c r="B22" s="46" t="n">
        <f aca="false">IFERROR(COUNTIF(Tracker!X3:X30,TRUE())/28,0)</f>
        <v>0</v>
      </c>
      <c r="C22" s="46" t="n">
        <f aca="false">IFERROR(AVERAGE(B16:B22),0)</f>
        <v>0</v>
      </c>
      <c r="E22" s="0" t="str">
        <f aca="false">Tracker!B23</f>
        <v>Plan Tomorrow</v>
      </c>
      <c r="F22" s="46" t="n">
        <f aca="false">Tracker!AI23</f>
        <v>0</v>
      </c>
      <c r="G22" s="0" t="str">
        <f aca="false">Tracker!C23</f>
        <v>Career</v>
      </c>
      <c r="I22" s="0" t="str">
        <f aca="false">Tracker!B23</f>
        <v>Plan Tomorrow</v>
      </c>
      <c r="J22" s="47" t="n">
        <f aca="false">Tracker!AJ23</f>
        <v>0</v>
      </c>
      <c r="K22" s="47" t="n">
        <f aca="false">Tracker!AK23</f>
        <v>0</v>
      </c>
    </row>
    <row r="23" customFormat="false" ht="15" hidden="false" customHeight="false" outlineLevel="0" collapsed="false">
      <c r="A23" s="0" t="n">
        <v>22</v>
      </c>
      <c r="B23" s="46" t="n">
        <f aca="false">IFERROR(COUNTIF(Tracker!Y3:Y30,TRUE())/28,0)</f>
        <v>0</v>
      </c>
      <c r="C23" s="46" t="n">
        <f aca="false">IFERROR(AVERAGE(B17:B23),0)</f>
        <v>0</v>
      </c>
      <c r="E23" s="0" t="str">
        <f aca="false">Tracker!B24</f>
        <v>Weekly Review</v>
      </c>
      <c r="F23" s="46" t="n">
        <f aca="false">Tracker!AI24</f>
        <v>0</v>
      </c>
      <c r="G23" s="0" t="str">
        <f aca="false">Tracker!C24</f>
        <v>Career</v>
      </c>
      <c r="I23" s="0" t="str">
        <f aca="false">Tracker!B24</f>
        <v>Weekly Review</v>
      </c>
      <c r="J23" s="47" t="n">
        <f aca="false">Tracker!AJ24</f>
        <v>0</v>
      </c>
      <c r="K23" s="47" t="n">
        <f aca="false">Tracker!AK24</f>
        <v>0</v>
      </c>
    </row>
    <row r="24" customFormat="false" ht="15" hidden="false" customHeight="false" outlineLevel="0" collapsed="false">
      <c r="A24" s="0" t="n">
        <v>23</v>
      </c>
      <c r="B24" s="46" t="n">
        <f aca="false">IFERROR(COUNTIF(Tracker!Z3:Z30,TRUE())/28,0)</f>
        <v>0</v>
      </c>
      <c r="C24" s="46" t="n">
        <f aca="false">IFERROR(AVERAGE(B18:B24),0)</f>
        <v>0</v>
      </c>
      <c r="E24" s="0" t="str">
        <f aca="false">Tracker!B25</f>
        <v>Savings Transfer</v>
      </c>
      <c r="F24" s="46" t="n">
        <f aca="false">Tracker!AI25</f>
        <v>0</v>
      </c>
      <c r="G24" s="0" t="str">
        <f aca="false">Tracker!C25</f>
        <v>Finance</v>
      </c>
      <c r="I24" s="0" t="str">
        <f aca="false">Tracker!B25</f>
        <v>Savings Transfer</v>
      </c>
      <c r="J24" s="47" t="n">
        <f aca="false">Tracker!AJ25</f>
        <v>0</v>
      </c>
      <c r="K24" s="47" t="n">
        <f aca="false">Tracker!AK25</f>
        <v>0</v>
      </c>
    </row>
    <row r="25" customFormat="false" ht="15" hidden="false" customHeight="false" outlineLevel="0" collapsed="false">
      <c r="A25" s="0" t="n">
        <v>24</v>
      </c>
      <c r="B25" s="46" t="n">
        <f aca="false">IFERROR(COUNTIF(Tracker!AA3:AA30,TRUE())/28,0)</f>
        <v>0</v>
      </c>
      <c r="C25" s="46" t="n">
        <f aca="false">IFERROR(AVERAGE(B19:B25),0)</f>
        <v>0</v>
      </c>
      <c r="E25" s="0" t="str">
        <f aca="false">Tracker!B26</f>
        <v>Track Spending</v>
      </c>
      <c r="F25" s="46" t="n">
        <f aca="false">Tracker!AI26</f>
        <v>0</v>
      </c>
      <c r="G25" s="0" t="str">
        <f aca="false">Tracker!C26</f>
        <v>Finance</v>
      </c>
      <c r="I25" s="0" t="str">
        <f aca="false">Tracker!B26</f>
        <v>Track Spending</v>
      </c>
      <c r="J25" s="47" t="n">
        <f aca="false">Tracker!AJ26</f>
        <v>0</v>
      </c>
      <c r="K25" s="47" t="n">
        <f aca="false">Tracker!AK26</f>
        <v>0</v>
      </c>
    </row>
    <row r="26" customFormat="false" ht="15" hidden="false" customHeight="false" outlineLevel="0" collapsed="false">
      <c r="A26" s="0" t="n">
        <v>25</v>
      </c>
      <c r="B26" s="46" t="n">
        <f aca="false">IFERROR(COUNTIF(Tracker!AB3:AB30,TRUE())/28,0)</f>
        <v>0</v>
      </c>
      <c r="C26" s="46" t="n">
        <f aca="false">IFERROR(AVERAGE(B20:B26),0)</f>
        <v>0</v>
      </c>
      <c r="E26" s="0" t="str">
        <f aca="false">Tracker!B27</f>
        <v>No Impulse Buys</v>
      </c>
      <c r="F26" s="46" t="n">
        <f aca="false">Tracker!AI27</f>
        <v>0</v>
      </c>
      <c r="G26" s="0" t="str">
        <f aca="false">Tracker!C27</f>
        <v>Finance</v>
      </c>
      <c r="I26" s="0" t="str">
        <f aca="false">Tracker!B27</f>
        <v>No Impulse Buys</v>
      </c>
      <c r="J26" s="47" t="n">
        <f aca="false">Tracker!AJ27</f>
        <v>0</v>
      </c>
      <c r="K26" s="47" t="n">
        <f aca="false">Tracker!AK27</f>
        <v>0</v>
      </c>
    </row>
    <row r="27" customFormat="false" ht="15" hidden="false" customHeight="false" outlineLevel="0" collapsed="false">
      <c r="A27" s="0" t="n">
        <v>26</v>
      </c>
      <c r="B27" s="46" t="n">
        <f aca="false">IFERROR(COUNTIF(Tracker!AC3:AC30,TRUE())/28,0)</f>
        <v>0</v>
      </c>
      <c r="C27" s="46" t="n">
        <f aca="false">IFERROR(AVERAGE(B21:B27),0)</f>
        <v>0</v>
      </c>
      <c r="E27" s="0" t="str">
        <f aca="false">Tracker!B28</f>
        <v>Affirmations</v>
      </c>
      <c r="F27" s="46" t="n">
        <f aca="false">Tracker!AI28</f>
        <v>0</v>
      </c>
      <c r="G27" s="0" t="str">
        <f aca="false">Tracker!C28</f>
        <v>Mindset</v>
      </c>
      <c r="I27" s="0" t="str">
        <f aca="false">Tracker!B28</f>
        <v>Affirmations</v>
      </c>
      <c r="J27" s="47" t="n">
        <f aca="false">Tracker!AJ28</f>
        <v>0</v>
      </c>
      <c r="K27" s="47" t="n">
        <f aca="false">Tracker!AK28</f>
        <v>0</v>
      </c>
    </row>
    <row r="28" customFormat="false" ht="15" hidden="false" customHeight="false" outlineLevel="0" collapsed="false">
      <c r="A28" s="0" t="n">
        <v>27</v>
      </c>
      <c r="B28" s="46" t="n">
        <f aca="false">IFERROR(COUNTIF(Tracker!AD3:AD30,TRUE())/28,0)</f>
        <v>0</v>
      </c>
      <c r="C28" s="46" t="n">
        <f aca="false">IFERROR(AVERAGE(B22:B28),0)</f>
        <v>0</v>
      </c>
      <c r="E28" s="0" t="str">
        <f aca="false">Tracker!B29</f>
        <v>Outdoor Time</v>
      </c>
      <c r="F28" s="46" t="n">
        <f aca="false">Tracker!AI29</f>
        <v>0</v>
      </c>
      <c r="G28" s="0" t="str">
        <f aca="false">Tracker!C29</f>
        <v>Mindset</v>
      </c>
      <c r="I28" s="0" t="str">
        <f aca="false">Tracker!B29</f>
        <v>Outdoor Time</v>
      </c>
      <c r="J28" s="47" t="n">
        <f aca="false">Tracker!AJ29</f>
        <v>0</v>
      </c>
      <c r="K28" s="47" t="n">
        <f aca="false">Tracker!AK29</f>
        <v>0</v>
      </c>
    </row>
    <row r="29" customFormat="false" ht="15" hidden="false" customHeight="false" outlineLevel="0" collapsed="false">
      <c r="A29" s="0" t="n">
        <v>28</v>
      </c>
      <c r="B29" s="46" t="n">
        <f aca="false">IFERROR(COUNTIF(Tracker!AE3:AE30,TRUE())/28,0)</f>
        <v>0</v>
      </c>
      <c r="C29" s="46" t="n">
        <f aca="false">IFERROR(AVERAGE(B23:B29),0)</f>
        <v>0</v>
      </c>
      <c r="E29" s="0" t="str">
        <f aca="false">Tracker!B30</f>
        <v>Digital Detox</v>
      </c>
      <c r="F29" s="46" t="n">
        <f aca="false">Tracker!AI30</f>
        <v>0</v>
      </c>
      <c r="G29" s="0" t="str">
        <f aca="false">Tracker!C30</f>
        <v>Mindset</v>
      </c>
      <c r="I29" s="0" t="str">
        <f aca="false">Tracker!B30</f>
        <v>Digital Detox</v>
      </c>
      <c r="J29" s="47" t="n">
        <f aca="false">Tracker!AJ30</f>
        <v>0</v>
      </c>
      <c r="K29" s="47" t="n">
        <f aca="false">Tracker!AK30</f>
        <v>0</v>
      </c>
    </row>
    <row r="30" customFormat="false" ht="15" hidden="false" customHeight="false" outlineLevel="0" collapsed="false">
      <c r="A30" s="0" t="n">
        <v>29</v>
      </c>
      <c r="B30" s="46" t="n">
        <f aca="false">IFERROR(COUNTIF(Tracker!AF3:AF30,TRUE())/28,0)</f>
        <v>0</v>
      </c>
      <c r="C30" s="46" t="n">
        <f aca="false">IFERROR(AVERAGE(B24:B30),0)</f>
        <v>0</v>
      </c>
    </row>
    <row r="31" customFormat="false" ht="15" hidden="false" customHeight="false" outlineLevel="0" collapsed="false">
      <c r="A31" s="0" t="n">
        <v>30</v>
      </c>
      <c r="B31" s="46" t="n">
        <f aca="false">IFERROR(COUNTIF(Tracker!AG3:AG30,TRUE())/28,0)</f>
        <v>0</v>
      </c>
      <c r="C31" s="46" t="n">
        <f aca="false">IFERROR(AVERAGE(B25:B31),0)</f>
        <v>0</v>
      </c>
    </row>
    <row r="32" customFormat="false" ht="15" hidden="false" customHeight="false" outlineLevel="0" collapsed="false">
      <c r="A32" s="0" t="n">
        <v>31</v>
      </c>
      <c r="B32" s="46" t="n">
        <f aca="false">IFERROR(COUNTIF(Tracker!AH3:AH30,TRUE())/28,0)</f>
        <v>0</v>
      </c>
      <c r="C32" s="46" t="n">
        <f aca="false">IFERROR(AVERAGE(B26:B32),0)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4A4A"/>
    <pageSetUpPr fitToPage="false"/>
  </sheetPr>
  <dimension ref="A1:A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true" outlineLevel="0" collapsed="false">
      <c r="A1" s="49" t="s">
        <v>107</v>
      </c>
    </row>
    <row r="2" customFormat="false" ht="15" hidden="false" customHeight="true" outlineLevel="0" collapsed="false">
      <c r="A2" s="50"/>
    </row>
    <row r="3" customFormat="false" ht="15" hidden="false" customHeight="true" outlineLevel="0" collapsed="false">
      <c r="A3" s="51" t="s">
        <v>108</v>
      </c>
    </row>
    <row r="4" customFormat="false" ht="15" hidden="false" customHeight="true" outlineLevel="0" collapsed="false">
      <c r="A4" s="51" t="s">
        <v>109</v>
      </c>
    </row>
    <row r="5" customFormat="false" ht="15" hidden="false" customHeight="true" outlineLevel="0" collapsed="false">
      <c r="A5" s="51" t="s">
        <v>108</v>
      </c>
    </row>
    <row r="6" customFormat="false" ht="15" hidden="false" customHeight="true" outlineLevel="0" collapsed="false">
      <c r="A6" s="50"/>
    </row>
    <row r="7" customFormat="false" ht="15" hidden="false" customHeight="true" outlineLevel="0" collapsed="false">
      <c r="A7" s="50" t="s">
        <v>110</v>
      </c>
    </row>
    <row r="8" customFormat="false" ht="15" hidden="false" customHeight="true" outlineLevel="0" collapsed="false">
      <c r="A8" s="50" t="s">
        <v>111</v>
      </c>
    </row>
    <row r="9" customFormat="false" ht="15" hidden="false" customHeight="true" outlineLevel="0" collapsed="false">
      <c r="A9" s="50" t="s">
        <v>112</v>
      </c>
    </row>
    <row r="10" customFormat="false" ht="15" hidden="false" customHeight="true" outlineLevel="0" collapsed="false">
      <c r="A10" s="50" t="s">
        <v>113</v>
      </c>
    </row>
    <row r="11" customFormat="false" ht="15" hidden="false" customHeight="true" outlineLevel="0" collapsed="false">
      <c r="A11" s="50" t="s">
        <v>114</v>
      </c>
    </row>
    <row r="12" customFormat="false" ht="15" hidden="false" customHeight="true" outlineLevel="0" collapsed="false">
      <c r="A12" s="50" t="s">
        <v>115</v>
      </c>
    </row>
    <row r="13" customFormat="false" ht="15" hidden="false" customHeight="true" outlineLevel="0" collapsed="false">
      <c r="A13" s="50"/>
    </row>
    <row r="14" customFormat="false" ht="15" hidden="false" customHeight="true" outlineLevel="0" collapsed="false">
      <c r="A14" s="50" t="s">
        <v>116</v>
      </c>
    </row>
    <row r="15" customFormat="false" ht="15" hidden="false" customHeight="true" outlineLevel="0" collapsed="false">
      <c r="A15" s="50" t="s">
        <v>117</v>
      </c>
    </row>
    <row r="16" customFormat="false" ht="15" hidden="false" customHeight="true" outlineLevel="0" collapsed="false">
      <c r="A16" s="50" t="s">
        <v>118</v>
      </c>
    </row>
    <row r="17" customFormat="false" ht="15" hidden="false" customHeight="true" outlineLevel="0" collapsed="false">
      <c r="A17" s="50" t="s">
        <v>119</v>
      </c>
    </row>
    <row r="18" customFormat="false" ht="15" hidden="false" customHeight="true" outlineLevel="0" collapsed="false">
      <c r="A18" s="50" t="s">
        <v>120</v>
      </c>
    </row>
    <row r="19" customFormat="false" ht="15" hidden="false" customHeight="true" outlineLevel="0" collapsed="false">
      <c r="A19" s="50" t="s">
        <v>121</v>
      </c>
    </row>
    <row r="20" customFormat="false" ht="15" hidden="false" customHeight="true" outlineLevel="0" collapsed="false">
      <c r="A20" s="50" t="s">
        <v>122</v>
      </c>
    </row>
    <row r="21" customFormat="false" ht="15" hidden="false" customHeight="true" outlineLevel="0" collapsed="false">
      <c r="A21" s="50" t="s">
        <v>123</v>
      </c>
    </row>
    <row r="22" customFormat="false" ht="15" hidden="false" customHeight="true" outlineLevel="0" collapsed="false">
      <c r="A22" s="50"/>
    </row>
    <row r="23" customFormat="false" ht="15" hidden="false" customHeight="true" outlineLevel="0" collapsed="false">
      <c r="A23" s="50" t="s">
        <v>124</v>
      </c>
    </row>
    <row r="24" customFormat="false" ht="15" hidden="false" customHeight="true" outlineLevel="0" collapsed="false">
      <c r="A24" s="50" t="s">
        <v>125</v>
      </c>
    </row>
    <row r="25" customFormat="false" ht="15" hidden="false" customHeight="true" outlineLevel="0" collapsed="false">
      <c r="A25" s="50" t="s">
        <v>126</v>
      </c>
    </row>
    <row r="26" customFormat="false" ht="15" hidden="false" customHeight="true" outlineLevel="0" collapsed="false">
      <c r="A26" s="50" t="s">
        <v>127</v>
      </c>
    </row>
    <row r="27" customFormat="false" ht="15" hidden="false" customHeight="true" outlineLevel="0" collapsed="false">
      <c r="A27" s="50" t="s">
        <v>128</v>
      </c>
    </row>
    <row r="28" customFormat="false" ht="15" hidden="false" customHeight="true" outlineLevel="0" collapsed="false">
      <c r="A28" s="50" t="s">
        <v>129</v>
      </c>
    </row>
    <row r="29" customFormat="false" ht="15" hidden="false" customHeight="true" outlineLevel="0" collapsed="false">
      <c r="A29" s="50" t="s">
        <v>130</v>
      </c>
    </row>
    <row r="30" customFormat="false" ht="15" hidden="false" customHeight="true" outlineLevel="0" collapsed="false">
      <c r="A30" s="50" t="s">
        <v>131</v>
      </c>
    </row>
    <row r="31" customFormat="false" ht="15" hidden="false" customHeight="true" outlineLevel="0" collapsed="false">
      <c r="A31" s="50" t="s">
        <v>132</v>
      </c>
    </row>
    <row r="32" customFormat="false" ht="15" hidden="false" customHeight="true" outlineLevel="0" collapsed="false">
      <c r="A32" s="50" t="s">
        <v>133</v>
      </c>
    </row>
    <row r="33" customFormat="false" ht="15" hidden="false" customHeight="true" outlineLevel="0" collapsed="false">
      <c r="A33" s="50" t="s">
        <v>134</v>
      </c>
    </row>
    <row r="34" customFormat="false" ht="15" hidden="false" customHeight="true" outlineLevel="0" collapsed="false">
      <c r="A34" s="50" t="s">
        <v>114</v>
      </c>
    </row>
    <row r="35" customFormat="false" ht="15" hidden="false" customHeight="true" outlineLevel="0" collapsed="false">
      <c r="A35" s="50" t="s">
        <v>135</v>
      </c>
    </row>
    <row r="36" customFormat="false" ht="15" hidden="false" customHeight="true" outlineLevel="0" collapsed="false">
      <c r="A36" s="50" t="s">
        <v>115</v>
      </c>
    </row>
    <row r="37" customFormat="false" ht="15" hidden="false" customHeight="true" outlineLevel="0" collapsed="false">
      <c r="A37" s="50"/>
    </row>
    <row r="38" customFormat="false" ht="15" hidden="false" customHeight="true" outlineLevel="0" collapsed="false">
      <c r="A38" s="50" t="s">
        <v>136</v>
      </c>
    </row>
    <row r="39" customFormat="false" ht="15" hidden="false" customHeight="true" outlineLevel="0" collapsed="false">
      <c r="A39" s="50" t="s">
        <v>137</v>
      </c>
    </row>
    <row r="40" customFormat="false" ht="15" hidden="false" customHeight="true" outlineLevel="0" collapsed="false">
      <c r="A40" s="50" t="s">
        <v>117</v>
      </c>
    </row>
    <row r="41" customFormat="false" ht="15" hidden="false" customHeight="true" outlineLevel="0" collapsed="false">
      <c r="A41" s="50" t="s">
        <v>118</v>
      </c>
    </row>
    <row r="42" customFormat="false" ht="15" hidden="false" customHeight="true" outlineLevel="0" collapsed="false">
      <c r="A42" s="50" t="s">
        <v>138</v>
      </c>
    </row>
    <row r="43" customFormat="false" ht="15" hidden="false" customHeight="true" outlineLevel="0" collapsed="false">
      <c r="A43" s="50" t="s">
        <v>139</v>
      </c>
    </row>
    <row r="44" customFormat="false" ht="15" hidden="false" customHeight="true" outlineLevel="0" collapsed="false">
      <c r="A44" s="50" t="s">
        <v>140</v>
      </c>
    </row>
    <row r="45" customFormat="false" ht="15" hidden="false" customHeight="true" outlineLevel="0" collapsed="false">
      <c r="A45" s="50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A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8" hidden="false" customHeight="true" outlineLevel="0" collapsed="false">
      <c r="A1" s="52" t="s">
        <v>141</v>
      </c>
    </row>
    <row r="2" customFormat="false" ht="18" hidden="false" customHeight="true" outlineLevel="0" collapsed="false">
      <c r="A2" s="53"/>
    </row>
    <row r="3" customFormat="false" ht="18" hidden="false" customHeight="true" outlineLevel="0" collapsed="false">
      <c r="A3" s="54" t="s">
        <v>142</v>
      </c>
    </row>
    <row r="4" customFormat="false" ht="18" hidden="false" customHeight="true" outlineLevel="0" collapsed="false">
      <c r="A4" s="53" t="s">
        <v>143</v>
      </c>
    </row>
    <row r="5" customFormat="false" ht="18" hidden="false" customHeight="true" outlineLevel="0" collapsed="false">
      <c r="A5" s="53" t="s">
        <v>144</v>
      </c>
    </row>
    <row r="6" customFormat="false" ht="18" hidden="false" customHeight="true" outlineLevel="0" collapsed="false">
      <c r="A6" s="53"/>
    </row>
    <row r="7" customFormat="false" ht="18" hidden="false" customHeight="true" outlineLevel="0" collapsed="false">
      <c r="A7" s="54" t="s">
        <v>145</v>
      </c>
    </row>
    <row r="8" customFormat="false" ht="18" hidden="false" customHeight="true" outlineLevel="0" collapsed="false">
      <c r="A8" s="53" t="s">
        <v>146</v>
      </c>
    </row>
    <row r="9" customFormat="false" ht="18" hidden="false" customHeight="true" outlineLevel="0" collapsed="false">
      <c r="A9" s="53" t="s">
        <v>147</v>
      </c>
    </row>
    <row r="10" customFormat="false" ht="18" hidden="false" customHeight="true" outlineLevel="0" collapsed="false">
      <c r="A10" s="53" t="s">
        <v>148</v>
      </c>
    </row>
    <row r="11" customFormat="false" ht="18" hidden="false" customHeight="true" outlineLevel="0" collapsed="false">
      <c r="A11" s="53" t="s">
        <v>149</v>
      </c>
    </row>
    <row r="12" customFormat="false" ht="18" hidden="false" customHeight="true" outlineLevel="0" collapsed="false">
      <c r="A12" s="53"/>
    </row>
    <row r="13" customFormat="false" ht="18" hidden="false" customHeight="true" outlineLevel="0" collapsed="false">
      <c r="A13" s="54" t="s">
        <v>150</v>
      </c>
    </row>
    <row r="14" customFormat="false" ht="18" hidden="false" customHeight="true" outlineLevel="0" collapsed="false">
      <c r="A14" s="53" t="s">
        <v>151</v>
      </c>
    </row>
    <row r="15" customFormat="false" ht="18" hidden="false" customHeight="true" outlineLevel="0" collapsed="false">
      <c r="A15" s="53" t="s">
        <v>152</v>
      </c>
    </row>
    <row r="16" customFormat="false" ht="18" hidden="false" customHeight="true" outlineLevel="0" collapsed="false">
      <c r="A16" s="53"/>
    </row>
    <row r="17" customFormat="false" ht="18" hidden="false" customHeight="true" outlineLevel="0" collapsed="false">
      <c r="A17" s="54" t="s">
        <v>153</v>
      </c>
    </row>
    <row r="18" customFormat="false" ht="18" hidden="false" customHeight="true" outlineLevel="0" collapsed="false">
      <c r="A18" s="53" t="s">
        <v>154</v>
      </c>
    </row>
    <row r="19" customFormat="false" ht="18" hidden="false" customHeight="true" outlineLevel="0" collapsed="false">
      <c r="A19" s="53" t="s">
        <v>155</v>
      </c>
    </row>
    <row r="20" customFormat="false" ht="18" hidden="false" customHeight="true" outlineLevel="0" collapsed="false">
      <c r="A20" s="53"/>
    </row>
    <row r="21" customFormat="false" ht="18" hidden="false" customHeight="true" outlineLevel="0" collapsed="false">
      <c r="A21" s="54" t="s">
        <v>156</v>
      </c>
    </row>
    <row r="22" customFormat="false" ht="18" hidden="false" customHeight="true" outlineLevel="0" collapsed="false">
      <c r="A22" s="53" t="s">
        <v>157</v>
      </c>
    </row>
    <row r="23" customFormat="false" ht="18" hidden="false" customHeight="true" outlineLevel="0" collapsed="false">
      <c r="A23" s="53" t="s">
        <v>158</v>
      </c>
    </row>
    <row r="24" customFormat="false" ht="18" hidden="false" customHeight="true" outlineLevel="0" collapsed="false">
      <c r="A24" s="53" t="s">
        <v>159</v>
      </c>
    </row>
    <row r="25" customFormat="false" ht="18" hidden="false" customHeight="true" outlineLevel="0" collapsed="false">
      <c r="A25" s="53"/>
    </row>
    <row r="26" customFormat="false" ht="18" hidden="false" customHeight="true" outlineLevel="0" collapsed="false">
      <c r="A26" s="54" t="s">
        <v>160</v>
      </c>
    </row>
    <row r="27" customFormat="false" ht="18" hidden="false" customHeight="true" outlineLevel="0" collapsed="false">
      <c r="A27" s="53" t="s">
        <v>161</v>
      </c>
    </row>
    <row r="28" customFormat="false" ht="18" hidden="false" customHeight="true" outlineLevel="0" collapsed="false">
      <c r="A28" s="53" t="s">
        <v>162</v>
      </c>
    </row>
    <row r="29" customFormat="false" ht="18" hidden="false" customHeight="true" outlineLevel="0" collapsed="false">
      <c r="A29" s="53"/>
    </row>
    <row r="30" customFormat="false" ht="18" hidden="false" customHeight="true" outlineLevel="0" collapsed="false">
      <c r="A30" s="55" t="s">
        <v>163</v>
      </c>
    </row>
    <row r="31" customFormat="false" ht="18" hidden="false" customHeight="true" outlineLevel="0" collapsed="false">
      <c r="A31" s="56" t="s">
        <v>164</v>
      </c>
    </row>
    <row r="32" customFormat="false" ht="18" hidden="false" customHeight="true" outlineLevel="0" collapsed="false">
      <c r="A32" s="57" t="s">
        <v>165</v>
      </c>
    </row>
    <row r="33" customFormat="false" ht="18" hidden="false" customHeight="true" outlineLevel="0" collapsed="false">
      <c r="A33" s="58" t="s">
        <v>166</v>
      </c>
    </row>
    <row r="34" customFormat="false" ht="18" hidden="false" customHeight="true" outlineLevel="0" collapsed="false">
      <c r="A34" s="59" t="s">
        <v>167</v>
      </c>
    </row>
    <row r="35" customFormat="false" ht="18" hidden="false" customHeight="true" outlineLevel="0" collapsed="false">
      <c r="A35" s="60" t="s">
        <v>168</v>
      </c>
    </row>
    <row r="36" customFormat="false" ht="18" hidden="false" customHeight="true" outlineLevel="0" collapsed="false">
      <c r="A36" s="53"/>
    </row>
    <row r="37" customFormat="false" ht="18" hidden="false" customHeight="true" outlineLevel="0" collapsed="false">
      <c r="A37" s="55" t="s">
        <v>169</v>
      </c>
    </row>
    <row r="38" customFormat="false" ht="18" hidden="false" customHeight="true" outlineLevel="0" collapsed="false">
      <c r="A38" s="53" t="s">
        <v>170</v>
      </c>
    </row>
    <row r="39" customFormat="false" ht="18" hidden="false" customHeight="true" outlineLevel="0" collapsed="false">
      <c r="A39" s="53" t="s">
        <v>171</v>
      </c>
    </row>
    <row r="40" customFormat="false" ht="18" hidden="false" customHeight="true" outlineLevel="0" collapsed="false">
      <c r="A40" s="53" t="s">
        <v>172</v>
      </c>
    </row>
    <row r="41" customFormat="false" ht="18" hidden="false" customHeight="true" outlineLevel="0" collapsed="false">
      <c r="A41" s="53" t="s">
        <v>173</v>
      </c>
    </row>
    <row r="42" customFormat="false" ht="18" hidden="false" customHeight="true" outlineLevel="0" collapsed="false">
      <c r="A42" s="53" t="s">
        <v>174</v>
      </c>
    </row>
    <row r="43" customFormat="false" ht="18" hidden="false" customHeight="true" outlineLevel="0" collapsed="false">
      <c r="A43" s="53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2026-03-15T18:17:27Z</dcterms:created>
  <dc:creator>openpyxl</dc:creator>
  <dc:description/>
  <dc:language>en-US</dc:language>
  <cp:lastModifiedBy/>
  <dcterms:modified xsi:type="dcterms:W3CDTF">2026-03-15T18:17:32Z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