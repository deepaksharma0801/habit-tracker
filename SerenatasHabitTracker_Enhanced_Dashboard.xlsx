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racker" sheetId="2" state="visible" r:id="rId2"/>
    <sheet xmlns:r="http://schemas.openxmlformats.org/officeDocument/2006/relationships" name="Habits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Helper" sheetId="5" state="hidden" r:id="rId5"/>
    <sheet xmlns:r="http://schemas.openxmlformats.org/officeDocument/2006/relationships" name="History" sheetId="6" state="visible" r:id="rId6"/>
    <sheet xmlns:r="http://schemas.openxmlformats.org/officeDocument/2006/relationships" name="AppScript" sheetId="7" state="visible" r:id="rId7"/>
    <sheet xmlns:r="http://schemas.openxmlformats.org/officeDocument/2006/relationships" name="HowToUse" sheetId="8" state="visible" r:id="rId8"/>
  </sheets>
  <definedNames>
    <definedName name="Tracker_Month">'Tracker'!$D$1</definedName>
    <definedName name="Tracker_Dates">'Tracker'!$D$2:$AH$2</definedName>
    <definedName name="Tracker_Habits">'Tracker'!$B$3:$B$32</definedName>
    <definedName name="Tracker_Categories">'Tracker'!$C$3:$C$32</definedName>
    <definedName name="Tracker_DataRange">'Tracker'!$D$3:$AH$32</definedName>
    <definedName name="Summary_Progress">'Summary'!$D$2:$D$31</definedName>
    <definedName name="Dashboard_TopN">'Dashboard'!$Q$11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mmm yyyy"/>
    <numFmt numFmtId="166" formatCode="d"/>
    <numFmt numFmtId="167" formatCode="+0%;-0%"/>
  </numFmts>
  <fonts count="16">
    <font>
      <name val="Calibri"/>
      <family val="2"/>
      <color theme="1"/>
      <sz val="11"/>
      <scheme val="minor"/>
    </font>
    <font>
      <name val="Montserrat"/>
      <b val="1"/>
      <color rgb="00FFFFFF"/>
      <sz val="11"/>
    </font>
    <font>
      <name val="Montserrat"/>
      <b val="1"/>
      <color rgb="0024343D"/>
    </font>
    <font>
      <name val="Montserrat"/>
      <i val="1"/>
      <color rgb="007AA5A9"/>
    </font>
    <font>
      <name val="Montserrat"/>
      <b val="1"/>
      <color rgb="00FFFFFF"/>
      <sz val="10"/>
    </font>
    <font>
      <name val="Montserrat"/>
      <b val="1"/>
      <color rgb="0024343D"/>
      <sz val="20"/>
    </font>
    <font>
      <name val="Montserrat"/>
      <color rgb="007AA5A9"/>
      <sz val="10"/>
    </font>
    <font>
      <name val="Montserrat"/>
      <b val="1"/>
      <color rgb="007AA5A9"/>
      <sz val="9"/>
    </font>
    <font>
      <name val="Montserrat"/>
      <b val="1"/>
      <color rgb="0024343D"/>
      <sz val="18"/>
    </font>
    <font>
      <name val="Montserrat"/>
      <i val="1"/>
      <color rgb="0024343D"/>
      <sz val="9"/>
    </font>
    <font>
      <name val="Montserrat"/>
      <b val="1"/>
      <color rgb="0024343D"/>
      <sz val="12"/>
    </font>
    <font>
      <name val="Montserrat"/>
      <b val="1"/>
      <color rgb="0024343D"/>
      <sz val="11"/>
    </font>
    <font>
      <name val="Montserrat"/>
      <b val="1"/>
      <color rgb="00FFFFFF"/>
      <sz val="9"/>
    </font>
    <font>
      <name val="Montserrat"/>
      <color rgb="0024343D"/>
      <sz val="9"/>
    </font>
    <font>
      <name val="Courier New"/>
      <color rgb="0024343D"/>
      <sz val="10"/>
    </font>
    <font>
      <name val="Montserrat"/>
      <color rgb="0024343D"/>
      <sz val="10"/>
    </font>
  </fonts>
  <fills count="8">
    <fill>
      <patternFill/>
    </fill>
    <fill>
      <patternFill patternType="gray125"/>
    </fill>
    <fill>
      <patternFill patternType="solid">
        <fgColor rgb="002E7D57"/>
      </patternFill>
    </fill>
    <fill>
      <patternFill patternType="solid">
        <fgColor rgb="00F7F9FA"/>
      </patternFill>
    </fill>
    <fill>
      <patternFill patternType="solid">
        <fgColor rgb="00EEF2F4"/>
      </patternFill>
    </fill>
    <fill>
      <patternFill patternType="solid">
        <fgColor rgb="00FFFFFF"/>
      </patternFill>
    </fill>
    <fill>
      <patternFill patternType="solid">
        <fgColor rgb="006BBF77"/>
      </patternFill>
    </fill>
    <fill>
      <patternFill patternType="solid">
        <fgColor rgb="00D9A441"/>
      </patternFill>
    </fill>
  </fills>
  <borders count="5">
    <border>
      <left/>
      <right/>
      <top/>
      <bottom/>
      <diagonal/>
    </border>
    <border>
      <left style="thin">
        <color rgb="00D6DEE2"/>
      </left>
      <right style="thin">
        <color rgb="00D6DEE2"/>
      </right>
      <top style="thin">
        <color rgb="00D6DEE2"/>
      </top>
      <bottom style="thin">
        <color rgb="00D6DEE2"/>
      </bottom>
    </border>
    <border>
      <left style="medium">
        <color rgb="006BBF77"/>
      </left>
      <right style="medium">
        <color rgb="006BBF77"/>
      </right>
      <top style="medium">
        <color rgb="006BBF77"/>
      </top>
      <bottom style="medium">
        <color rgb="006BBF77"/>
      </bottom>
    </border>
    <border>
      <left style="medium">
        <color rgb="00D9A441"/>
      </left>
      <right style="medium">
        <color rgb="00D9A441"/>
      </right>
      <top style="medium">
        <color rgb="00D9A441"/>
      </top>
      <bottom style="medium">
        <color rgb="00D9A441"/>
      </bottom>
    </border>
    <border>
      <left style="medium">
        <color rgb="002E7D57"/>
      </left>
      <right style="medium">
        <color rgb="002E7D57"/>
      </right>
      <top style="medium">
        <color rgb="002E7D57"/>
      </top>
      <bottom style="medium">
        <color rgb="002E7D57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5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0" pivotButton="0" quotePrefix="0" xfId="0"/>
    <xf numFmtId="0" fontId="7" fillId="5" borderId="2" applyAlignment="1" pivotButton="0" quotePrefix="0" xfId="0">
      <alignment horizontal="left" vertical="top"/>
    </xf>
    <xf numFmtId="0" fontId="0" fillId="5" borderId="2" pivotButton="0" quotePrefix="0" xfId="0"/>
    <xf numFmtId="0" fontId="7" fillId="5" borderId="3" applyAlignment="1" pivotButton="0" quotePrefix="0" xfId="0">
      <alignment horizontal="left" vertical="top"/>
    </xf>
    <xf numFmtId="0" fontId="0" fillId="5" borderId="3" pivotButton="0" quotePrefix="0" xfId="0"/>
    <xf numFmtId="0" fontId="7" fillId="5" borderId="4" applyAlignment="1" pivotButton="0" quotePrefix="0" xfId="0">
      <alignment horizontal="left" vertical="top"/>
    </xf>
    <xf numFmtId="0" fontId="0" fillId="5" borderId="4" pivotButton="0" quotePrefix="0" xfId="0"/>
    <xf numFmtId="0" fontId="8" fillId="5" borderId="2" applyAlignment="1" pivotButton="0" quotePrefix="0" xfId="0">
      <alignment horizontal="left" vertical="center"/>
    </xf>
    <xf numFmtId="9" fontId="8" fillId="5" borderId="2" applyAlignment="1" pivotButton="0" quotePrefix="0" xfId="0">
      <alignment horizontal="left" vertical="center"/>
    </xf>
    <xf numFmtId="0" fontId="8" fillId="5" borderId="3" applyAlignment="1" pivotButton="0" quotePrefix="0" xfId="0">
      <alignment horizontal="left" vertical="center"/>
    </xf>
    <xf numFmtId="0" fontId="8" fillId="5" borderId="4" applyAlignment="1" pivotButton="0" quotePrefix="0" xfId="0">
      <alignment horizontal="left" vertical="center"/>
    </xf>
    <xf numFmtId="9" fontId="8" fillId="5" borderId="3" applyAlignment="1" pivotButton="0" quotePrefix="0" xfId="0">
      <alignment horizontal="left" vertical="center"/>
    </xf>
    <xf numFmtId="0" fontId="9" fillId="5" borderId="2" applyAlignment="1" pivotButton="0" quotePrefix="0" xfId="0">
      <alignment horizontal="left" vertical="bottom" wrapText="1"/>
    </xf>
    <xf numFmtId="0" fontId="9" fillId="5" borderId="3" applyAlignment="1" pivotButton="0" quotePrefix="0" xfId="0">
      <alignment horizontal="left" vertical="bottom" wrapText="1"/>
    </xf>
    <xf numFmtId="0" fontId="9" fillId="5" borderId="4" applyAlignment="1" pivotButton="0" quotePrefix="0" xfId="0">
      <alignment horizontal="left" vertical="bottom" wrapText="1"/>
    </xf>
    <xf numFmtId="0" fontId="10" fillId="3" borderId="1" pivotButton="0" quotePrefix="0" xfId="0"/>
    <xf numFmtId="0" fontId="0" fillId="3" borderId="1" pivotButton="0" quotePrefix="0" xfId="0"/>
    <xf numFmtId="0" fontId="0" fillId="5" borderId="1" pivotButton="0" quotePrefix="0" xfId="0"/>
    <xf numFmtId="0" fontId="11" fillId="5" borderId="1" applyAlignment="1" pivotButton="0" quotePrefix="0" xfId="0">
      <alignment horizontal="center"/>
    </xf>
    <xf numFmtId="0" fontId="12" fillId="2" borderId="1" pivotButton="0" quotePrefix="0" xfId="0"/>
    <xf numFmtId="9" fontId="0" fillId="3" borderId="1" pivotButton="0" quotePrefix="0" xfId="0"/>
    <xf numFmtId="9" fontId="0" fillId="0" borderId="0" pivotButton="0" quotePrefix="0" xfId="0"/>
    <xf numFmtId="0" fontId="10" fillId="0" borderId="0" pivotButton="0" quotePrefix="0" xfId="0"/>
    <xf numFmtId="0" fontId="12" fillId="2" borderId="1" applyAlignment="1" pivotButton="0" quotePrefix="0" xfId="0">
      <alignment horizontal="center"/>
    </xf>
    <xf numFmtId="0" fontId="13" fillId="0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0" fillId="7" borderId="1" pivotButton="0" quotePrefix="0" xfId="0"/>
    <xf numFmtId="0" fontId="0" fillId="4" borderId="1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6" fontId="4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9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wrapText="1"/>
    </xf>
    <xf numFmtId="0" fontId="4" fillId="2" borderId="1" applyAlignment="1" pivotButton="0" quotePrefix="0" xfId="0">
      <alignment horizontal="center"/>
    </xf>
    <xf numFmtId="16" fontId="0" fillId="0" borderId="1" pivotButton="0" quotePrefix="0" xfId="0"/>
    <xf numFmtId="167" fontId="0" fillId="0" borderId="1" pivotButton="0" quotePrefix="0" xfId="0"/>
    <xf numFmtId="0" fontId="1" fillId="2" borderId="0" applyAlignment="1" pivotButton="0" quotePrefix="0" xfId="0">
      <alignment horizontal="center"/>
    </xf>
    <xf numFmtId="0" fontId="14" fillId="0" borderId="0" pivotButton="0" quotePrefix="0" xfId="0"/>
    <xf numFmtId="0" fontId="11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dxfs count="10">
    <dxf>
      <fill>
        <patternFill patternType="solid">
          <fgColor rgb="00EEF2F4"/>
        </patternFill>
      </fill>
    </dxf>
    <dxf>
      <fill>
        <patternFill patternType="solid">
          <fgColor rgb="00F0F4F5"/>
        </patternFill>
      </fill>
    </dxf>
    <dxf>
      <fill>
        <patternFill patternType="solid">
          <fgColor rgb="00DCEFE0"/>
        </patternFill>
      </fill>
    </dxf>
    <dxf>
      <fill>
        <patternFill patternType="solid">
          <fgColor rgb="00C2E4C9"/>
        </patternFill>
      </fill>
    </dxf>
    <dxf>
      <fill>
        <patternFill patternType="solid">
          <fgColor rgb="0096D2A2"/>
        </patternFill>
      </fill>
    </dxf>
    <dxf>
      <fill>
        <patternFill patternType="solid">
          <fgColor rgb="006BBF77"/>
        </patternFill>
      </fill>
    </dxf>
    <dxf>
      <fill>
        <patternFill patternType="solid">
          <fgColor rgb="00DFF6E0"/>
        </patternFill>
      </fill>
    </dxf>
    <dxf>
      <fill>
        <patternFill patternType="solid">
          <fgColor rgb="00F7E8C3"/>
        </patternFill>
      </fill>
    </dxf>
    <dxf>
      <fill>
        <patternFill patternType="solid">
          <fgColor rgb="00F9D8D6"/>
        </patternFill>
      </fill>
    </dxf>
    <dxf>
      <border>
        <left style="medium">
          <color rgb="00E7C66E"/>
        </left>
        <right style="medium">
          <color rgb="00E7C66E"/>
        </right>
        <top style="medium">
          <color rgb="00E7C66E"/>
        </top>
        <bottom style="medium">
          <color rgb="00E7C66E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Completion Trend</a:t>
            </a:r>
          </a:p>
        </rich>
      </tx>
    </title>
    <plotArea>
      <lineChart>
        <grouping val="standard"/>
        <ser>
          <idx val="0"/>
          <order val="0"/>
          <tx>
            <strRef>
              <f>'Helper'!C1</f>
            </strRef>
          </tx>
          <spPr>
            <a:ln xmlns:a="http://schemas.openxmlformats.org/drawingml/2006/main" w="28000">
              <a:solidFill>
                <a:srgbClr val="2E7D5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'Helper'!$B$2:$B$32</f>
            </numRef>
          </cat>
          <val>
            <numRef>
              <f>'Helper'!$C$2:$C$32</f>
            </numRef>
          </val>
        </ser>
        <ser>
          <idx val="1"/>
          <order val="1"/>
          <tx>
            <strRef>
              <f>'Helper'!D1</f>
            </strRef>
          </tx>
          <spPr>
            <a:ln xmlns:a="http://schemas.openxmlformats.org/drawingml/2006/main" w="18000">
              <a:solidFill>
                <a:srgbClr val="7AA5A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'Helper'!$B$2:$B$32</f>
            </numRef>
          </cat>
          <val>
            <numRef>
              <f>'Helper'!$D$2:$D$32</f>
            </numRef>
          </val>
        </ser>
        <smooth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Completion %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Habit Consistency (Top N)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'Helper'!P1</f>
            </strRef>
          </tx>
          <spPr>
            <a:solidFill xmlns:a="http://schemas.openxmlformats.org/drawingml/2006/main">
              <a:srgbClr val="6BBF77"/>
            </a:solidFill>
            <a:ln xmlns:a="http://schemas.openxmlformats.org/drawingml/2006/main">
              <a:solidFill>
                <a:srgbClr val="2E7D57"/>
              </a:solidFill>
              <a:prstDash val="solid"/>
            </a:ln>
          </spPr>
          <cat>
            <numRef>
              <f>'Helper'!$O$2:$O$21</f>
            </numRef>
          </cat>
          <val>
            <numRef>
              <f>'Helper'!$P$2:$P$21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Completion %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Habit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Streak Leaderboard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'Helper'!S1</f>
            </strRef>
          </tx>
          <spPr>
            <a:solidFill xmlns:a="http://schemas.openxmlformats.org/drawingml/2006/main">
              <a:srgbClr val="2E7D57"/>
            </a:solidFill>
            <a:ln xmlns:a="http://schemas.openxmlformats.org/drawingml/2006/main">
              <a:prstDash val="solid"/>
            </a:ln>
          </spPr>
          <cat>
            <numRef>
              <f>'Helper'!$R$2:$R$11</f>
            </numRef>
          </cat>
          <val>
            <numRef>
              <f>'Helper'!$S$2:$S$11</f>
            </numRef>
          </val>
        </ser>
        <ser>
          <idx val="1"/>
          <order val="1"/>
          <tx>
            <strRef>
              <f>'Helper'!T1</f>
            </strRef>
          </tx>
          <spPr>
            <a:solidFill xmlns:a="http://schemas.openxmlformats.org/drawingml/2006/main">
              <a:srgbClr val="D9A441"/>
            </a:solidFill>
            <a:ln xmlns:a="http://schemas.openxmlformats.org/drawingml/2006/main">
              <a:prstDash val="solid"/>
            </a:ln>
          </spPr>
          <cat>
            <numRef>
              <f>'Helper'!$R$2:$R$11</f>
            </numRef>
          </cat>
          <val>
            <numRef>
              <f>'Helper'!$T$2:$T$11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Habit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Category Radar</a:t>
            </a:r>
          </a:p>
        </rich>
      </tx>
    </title>
    <plotArea>
      <radarChart>
        <radarStyle val="filled"/>
        <ser>
          <idx val="0"/>
          <order val="0"/>
          <tx>
            <strRef>
              <f>'Helper'!V1</f>
            </strRef>
          </tx>
          <spPr>
            <a:solidFill xmlns:a="http://schemas.openxmlformats.org/drawingml/2006/main">
              <a:srgbClr val="7AA5A9"/>
            </a:solidFill>
            <a:ln xmlns:a="http://schemas.openxmlformats.org/drawingml/2006/main">
              <a:solidFill>
                <a:srgbClr val="2E7D5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'Helper'!$U$2:$U$10</f>
            </numRef>
          </cat>
          <val>
            <numRef>
              <f>'Helper'!$V$2:$V$10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Progress</a:t>
            </a:r>
          </a:p>
        </rich>
      </tx>
    </title>
    <plotArea>
      <doughnutChart>
        <varyColors val="1"/>
        <ser>
          <idx val="0"/>
          <order val="0"/>
          <tx>
            <strRef>
              <f>'Helper'!X1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7D57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D6DEE2"/>
              </a:solidFill>
              <a:ln xmlns:a="http://schemas.openxmlformats.org/drawingml/2006/main">
                <a:prstDash val="solid"/>
              </a:ln>
            </spPr>
          </dPt>
          <cat>
            <numRef>
              <f>'Helper'!$W$2:$W$3</f>
            </numRef>
          </cat>
          <val>
            <numRef>
              <f>'Helper'!$X$2:$X$3</f>
            </numRef>
          </val>
        </ser>
        <firstSliceAng val="0"/>
        <holeSize val="68"/>
      </doughnutChart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37</row>
      <rowOff>0</rowOff>
    </from>
    <ext cx="39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23</row>
      <rowOff>0</rowOff>
    </from>
    <ext cx="288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8</col>
      <colOff>0</colOff>
      <row>37</row>
      <rowOff>0</rowOff>
    </from>
    <ext cx="288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15</col>
      <colOff>0</colOff>
      <row>2</row>
      <rowOff>0</rowOff>
    </from>
    <ext cx="1800000" cy="216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A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</cols>
  <sheetData>
    <row r="1" ht="28" customHeight="1">
      <c r="A1" s="1">
        <f>"Monthly Habit Dashboard — "&amp;TEXT(Tracker!D1,"MMMM YYYY")</f>
        <v/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3" t="inlineStr">
        <is>
          <t>Clean monthly snapshot with live formulas, chart-ready helper data, and Google Sheets automation support.</t>
        </is>
      </c>
    </row>
    <row r="4">
      <c r="A4" s="4" t="inlineStr">
        <is>
          <t>TOTAL HABITS</t>
        </is>
      </c>
      <c r="B4" s="5" t="n"/>
      <c r="C4" s="5" t="n"/>
      <c r="D4" s="4" t="inlineStr">
        <is>
          <t>AVERAGE COMPLETION %</t>
        </is>
      </c>
      <c r="E4" s="5" t="n"/>
      <c r="F4" s="5" t="n"/>
      <c r="G4" s="6" t="inlineStr">
        <is>
          <t>HABITS &gt; 80%</t>
        </is>
      </c>
      <c r="H4" s="7" t="n"/>
      <c r="I4" s="7" t="n"/>
      <c r="J4" s="8" t="inlineStr">
        <is>
          <t>ACTIVE STREAK LEADER</t>
        </is>
      </c>
      <c r="K4" s="9" t="n"/>
      <c r="L4" s="9" t="n"/>
      <c r="M4" s="6" t="inlineStr">
        <is>
          <t>BEST IMPROVEMENT VS PREV</t>
        </is>
      </c>
      <c r="N4" s="7" t="n"/>
      <c r="O4" s="7" t="n"/>
    </row>
    <row r="5">
      <c r="A5" s="10">
        <f>COUNTA(Habits!B2:B31)</f>
        <v/>
      </c>
      <c r="B5" s="5" t="n"/>
      <c r="C5" s="5" t="n"/>
      <c r="D5" s="11">
        <f>IFERROR(AVERAGE(Summary!D2:D31),0)</f>
        <v/>
      </c>
      <c r="E5" s="5" t="n"/>
      <c r="F5" s="5" t="n"/>
      <c r="G5" s="12">
        <f>COUNTIF(Summary!D2:D31,"&gt;=0.8")</f>
        <v/>
      </c>
      <c r="H5" s="7" t="n"/>
      <c r="I5" s="7" t="n"/>
      <c r="J5" s="13">
        <f>MAX(Summary!F2:F31)</f>
        <v/>
      </c>
      <c r="K5" s="9" t="n"/>
      <c r="L5" s="9" t="n"/>
      <c r="M5" s="14">
        <f>IFERROR(MAX(Helper!M2:M31),0)</f>
        <v/>
      </c>
      <c r="N5" s="7" t="n"/>
      <c r="O5" s="7" t="n"/>
    </row>
    <row r="6">
      <c r="A6" s="5" t="n"/>
      <c r="B6" s="5" t="n"/>
      <c r="C6" s="5" t="n"/>
      <c r="D6" s="5" t="n"/>
      <c r="E6" s="5" t="n"/>
      <c r="F6" s="5" t="n"/>
      <c r="G6" s="7" t="n"/>
      <c r="H6" s="7" t="n"/>
      <c r="I6" s="7" t="n"/>
      <c r="J6" s="9" t="n"/>
      <c r="K6" s="9" t="n"/>
      <c r="L6" s="9" t="n"/>
      <c r="M6" s="7" t="n"/>
      <c r="N6" s="7" t="n"/>
      <c r="O6" s="7" t="n"/>
    </row>
    <row r="7">
      <c r="A7" s="15">
        <f>"tracked this month"</f>
        <v/>
      </c>
      <c r="B7" s="5" t="n"/>
      <c r="C7" s="5" t="n"/>
      <c r="D7" s="15">
        <f>"across active days"</f>
        <v/>
      </c>
      <c r="E7" s="5" t="n"/>
      <c r="F7" s="5" t="n"/>
      <c r="G7" s="16">
        <f>"high consistency habits"</f>
        <v/>
      </c>
      <c r="H7" s="7" t="n"/>
      <c r="I7" s="7" t="n"/>
      <c r="J7" s="17">
        <f>IFERROR(INDEX(Summary!B2:B31,MATCH(MAX(Summary!F2:F31),Summary!F2:F31,0)),"—")</f>
        <v/>
      </c>
      <c r="K7" s="9" t="n"/>
      <c r="L7" s="9" t="n"/>
      <c r="M7" s="16">
        <f>IFERROR(INDEX(Helper!G2:G31,MATCH(MAX(Helper!M2:M31),Helper!M2:M31,0)),"Archive a month to activate")</f>
        <v/>
      </c>
      <c r="N7" s="7" t="n"/>
      <c r="O7" s="7" t="n"/>
    </row>
    <row r="8">
      <c r="A8" s="5" t="n"/>
      <c r="B8" s="5" t="n"/>
      <c r="C8" s="5" t="n"/>
      <c r="D8" s="5" t="n"/>
      <c r="E8" s="5" t="n"/>
      <c r="F8" s="5" t="n"/>
      <c r="G8" s="7" t="n"/>
      <c r="H8" s="7" t="n"/>
      <c r="I8" s="7" t="n"/>
      <c r="J8" s="9" t="n"/>
      <c r="K8" s="9" t="n"/>
      <c r="L8" s="9" t="n"/>
      <c r="M8" s="7" t="n"/>
      <c r="N8" s="7" t="n"/>
      <c r="O8" s="7" t="n"/>
    </row>
    <row r="10">
      <c r="N10" s="18" t="inlineStr">
        <is>
          <t>Top Habits</t>
        </is>
      </c>
      <c r="O10" s="19" t="n"/>
      <c r="P10" s="19" t="n"/>
      <c r="Q10" s="19" t="n"/>
    </row>
    <row r="11">
      <c r="N11" s="20" t="inlineStr">
        <is>
          <t>Show Top N</t>
        </is>
      </c>
      <c r="O11" s="20" t="n"/>
      <c r="P11" s="20" t="n"/>
      <c r="Q11" s="21" t="n">
        <v>10</v>
      </c>
    </row>
    <row r="12">
      <c r="N12" s="19" t="inlineStr">
        <is>
          <t>Quick Actions</t>
        </is>
      </c>
      <c r="O12" s="19" t="n"/>
      <c r="P12" s="19" t="n"/>
      <c r="Q12" s="19" t="n"/>
    </row>
    <row r="13">
      <c r="N13" s="20" t="inlineStr">
        <is>
          <t>1. Change month in Tracker!D1</t>
        </is>
      </c>
      <c r="O13" s="20" t="n"/>
      <c r="P13" s="20" t="n"/>
      <c r="Q13" s="20" t="n"/>
    </row>
    <row r="14">
      <c r="N14" s="19" t="inlineStr">
        <is>
          <t>2. Run Tracker Tools &gt; Setup / Refresh dashboard</t>
        </is>
      </c>
      <c r="O14" s="19" t="n"/>
      <c r="P14" s="19" t="n"/>
      <c r="Q14" s="19" t="n"/>
    </row>
    <row r="15">
      <c r="N15" s="20" t="inlineStr">
        <is>
          <t>3. Run Archive current month before rolling forward</t>
        </is>
      </c>
      <c r="O15" s="20" t="n"/>
      <c r="P15" s="20" t="n"/>
      <c r="Q15" s="20" t="n"/>
    </row>
    <row r="16">
      <c r="N16" s="19" t="n"/>
      <c r="O16" s="19" t="n"/>
      <c r="P16" s="19" t="n"/>
      <c r="Q16" s="19" t="n"/>
    </row>
    <row r="17">
      <c r="N17" s="22" t="inlineStr">
        <is>
          <t>Rank</t>
        </is>
      </c>
      <c r="O17" s="22" t="inlineStr">
        <is>
          <t>Habit</t>
        </is>
      </c>
      <c r="P17" s="22" t="inlineStr">
        <is>
          <t>Completion</t>
        </is>
      </c>
      <c r="Q17" s="22" t="inlineStr">
        <is>
          <t>Label</t>
        </is>
      </c>
    </row>
    <row r="18">
      <c r="N18" s="19" t="n">
        <v>1</v>
      </c>
      <c r="O18" s="19">
        <f>Helper!O2</f>
        <v/>
      </c>
      <c r="P18" s="23">
        <f>Helper!P2</f>
        <v/>
      </c>
      <c r="Q18" s="19">
        <f>Helper!Q2</f>
        <v/>
      </c>
    </row>
    <row r="19">
      <c r="N19" t="n">
        <v>2</v>
      </c>
      <c r="O19">
        <f>Helper!O3</f>
        <v/>
      </c>
      <c r="P19" s="24">
        <f>Helper!P3</f>
        <v/>
      </c>
      <c r="Q19">
        <f>Helper!Q3</f>
        <v/>
      </c>
    </row>
    <row r="20">
      <c r="N20" t="n">
        <v>3</v>
      </c>
      <c r="O20">
        <f>Helper!O4</f>
        <v/>
      </c>
      <c r="P20" s="24">
        <f>Helper!P4</f>
        <v/>
      </c>
      <c r="Q20">
        <f>Helper!Q4</f>
        <v/>
      </c>
    </row>
    <row r="21">
      <c r="N21" t="n">
        <v>4</v>
      </c>
      <c r="O21">
        <f>Helper!O5</f>
        <v/>
      </c>
      <c r="P21" s="24">
        <f>Helper!P5</f>
        <v/>
      </c>
      <c r="Q21">
        <f>Helper!Q5</f>
        <v/>
      </c>
    </row>
    <row r="22">
      <c r="N22" t="n">
        <v>5</v>
      </c>
      <c r="O22">
        <f>Helper!O6</f>
        <v/>
      </c>
      <c r="P22" s="24">
        <f>Helper!P6</f>
        <v/>
      </c>
      <c r="Q22">
        <f>Helper!Q6</f>
        <v/>
      </c>
    </row>
    <row r="23">
      <c r="N23" t="n">
        <v>6</v>
      </c>
      <c r="O23">
        <f>Helper!O7</f>
        <v/>
      </c>
      <c r="P23" s="24">
        <f>Helper!P7</f>
        <v/>
      </c>
      <c r="Q23">
        <f>Helper!Q7</f>
        <v/>
      </c>
    </row>
    <row r="24">
      <c r="A24" s="25" t="inlineStr">
        <is>
          <t>Monthly Heatmap</t>
        </is>
      </c>
      <c r="N24" t="n">
        <v>7</v>
      </c>
      <c r="O24">
        <f>Helper!O8</f>
        <v/>
      </c>
      <c r="P24" s="24">
        <f>Helper!P8</f>
        <v/>
      </c>
      <c r="Q24">
        <f>Helper!Q8</f>
        <v/>
      </c>
    </row>
    <row r="25">
      <c r="A25" s="26" t="inlineStr">
        <is>
          <t>Mon</t>
        </is>
      </c>
      <c r="B25" s="26" t="inlineStr">
        <is>
          <t>Tue</t>
        </is>
      </c>
      <c r="C25" s="26" t="inlineStr">
        <is>
          <t>Wed</t>
        </is>
      </c>
      <c r="D25" s="26" t="inlineStr">
        <is>
          <t>Thu</t>
        </is>
      </c>
      <c r="E25" s="26" t="inlineStr">
        <is>
          <t>Fri</t>
        </is>
      </c>
      <c r="F25" s="26" t="inlineStr">
        <is>
          <t>Sat</t>
        </is>
      </c>
      <c r="G25" s="26" t="inlineStr">
        <is>
          <t>Sun</t>
        </is>
      </c>
      <c r="N25" t="n">
        <v>8</v>
      </c>
      <c r="O25">
        <f>Helper!O9</f>
        <v/>
      </c>
      <c r="P25" s="24">
        <f>Helper!P9</f>
        <v/>
      </c>
      <c r="Q25">
        <f>Helper!Q9</f>
        <v/>
      </c>
    </row>
    <row r="26" ht="34" customHeight="1">
      <c r="A26" s="27">
        <f>IF(MONTH(Helper!$Z$2+0)=MONTH(Tracker!$D$1),TEXT(Helper!$Z$2+0,"d")&amp;CHAR(10)&amp;TEXT(INDEX(Helper!$C$2:$C$32,DAY(Helper!$Z$2+0)),"0%"),"")</f>
        <v/>
      </c>
      <c r="B26" s="27">
        <f>IF(MONTH(Helper!$Z$2+1)=MONTH(Tracker!$D$1),TEXT(Helper!$Z$2+1,"d")&amp;CHAR(10)&amp;TEXT(INDEX(Helper!$C$2:$C$32,DAY(Helper!$Z$2+1)),"0%"),"")</f>
        <v/>
      </c>
      <c r="C26" s="27">
        <f>IF(MONTH(Helper!$Z$2+2)=MONTH(Tracker!$D$1),TEXT(Helper!$Z$2+2,"d")&amp;CHAR(10)&amp;TEXT(INDEX(Helper!$C$2:$C$32,DAY(Helper!$Z$2+2)),"0%"),"")</f>
        <v/>
      </c>
      <c r="D26" s="27">
        <f>IF(MONTH(Helper!$Z$2+3)=MONTH(Tracker!$D$1),TEXT(Helper!$Z$2+3,"d")&amp;CHAR(10)&amp;TEXT(INDEX(Helper!$C$2:$C$32,DAY(Helper!$Z$2+3)),"0%"),"")</f>
        <v/>
      </c>
      <c r="E26" s="27">
        <f>IF(MONTH(Helper!$Z$2+4)=MONTH(Tracker!$D$1),TEXT(Helper!$Z$2+4,"d")&amp;CHAR(10)&amp;TEXT(INDEX(Helper!$C$2:$C$32,DAY(Helper!$Z$2+4)),"0%"),"")</f>
        <v/>
      </c>
      <c r="F26" s="27">
        <f>IF(MONTH(Helper!$Z$2+5)=MONTH(Tracker!$D$1),TEXT(Helper!$Z$2+5,"d")&amp;CHAR(10)&amp;TEXT(INDEX(Helper!$C$2:$C$32,DAY(Helper!$Z$2+5)),"0%"),"")</f>
        <v/>
      </c>
      <c r="G26" s="27">
        <f>IF(MONTH(Helper!$Z$2+6)=MONTH(Tracker!$D$1),TEXT(Helper!$Z$2+6,"d")&amp;CHAR(10)&amp;TEXT(INDEX(Helper!$C$2:$C$32,DAY(Helper!$Z$2+6)),"0%"),"")</f>
        <v/>
      </c>
      <c r="N26" t="n">
        <v>9</v>
      </c>
      <c r="O26">
        <f>Helper!O10</f>
        <v/>
      </c>
      <c r="P26" s="24">
        <f>Helper!P10</f>
        <v/>
      </c>
      <c r="Q26">
        <f>Helper!Q10</f>
        <v/>
      </c>
      <c r="U26" s="24">
        <f>IF(MONTH(Helper!$Z$2+0)=MONTH(Tracker!$D$1),INDEX(Helper!$C$2:$C$32,DAY(Helper!$Z$2+0)),"")</f>
        <v/>
      </c>
      <c r="V26" s="24">
        <f>IF(MONTH(Helper!$Z$2+1)=MONTH(Tracker!$D$1),INDEX(Helper!$C$2:$C$32,DAY(Helper!$Z$2+1)),"")</f>
        <v/>
      </c>
      <c r="W26" s="24">
        <f>IF(MONTH(Helper!$Z$2+2)=MONTH(Tracker!$D$1),INDEX(Helper!$C$2:$C$32,DAY(Helper!$Z$2+2)),"")</f>
        <v/>
      </c>
      <c r="X26" s="24">
        <f>IF(MONTH(Helper!$Z$2+3)=MONTH(Tracker!$D$1),INDEX(Helper!$C$2:$C$32,DAY(Helper!$Z$2+3)),"")</f>
        <v/>
      </c>
      <c r="Y26" s="24">
        <f>IF(MONTH(Helper!$Z$2+4)=MONTH(Tracker!$D$1),INDEX(Helper!$C$2:$C$32,DAY(Helper!$Z$2+4)),"")</f>
        <v/>
      </c>
      <c r="Z26" s="24">
        <f>IF(MONTH(Helper!$Z$2+5)=MONTH(Tracker!$D$1),INDEX(Helper!$C$2:$C$32,DAY(Helper!$Z$2+5)),"")</f>
        <v/>
      </c>
      <c r="AA26" s="24">
        <f>IF(MONTH(Helper!$Z$2+6)=MONTH(Tracker!$D$1),INDEX(Helper!$C$2:$C$32,DAY(Helper!$Z$2+6)),"")</f>
        <v/>
      </c>
    </row>
    <row r="27" ht="34" customHeight="1">
      <c r="A27" s="27">
        <f>IF(MONTH(Helper!$Z$2+7)=MONTH(Tracker!$D$1),TEXT(Helper!$Z$2+7,"d")&amp;CHAR(10)&amp;TEXT(INDEX(Helper!$C$2:$C$32,DAY(Helper!$Z$2+7)),"0%"),"")</f>
        <v/>
      </c>
      <c r="B27" s="27">
        <f>IF(MONTH(Helper!$Z$2+8)=MONTH(Tracker!$D$1),TEXT(Helper!$Z$2+8,"d")&amp;CHAR(10)&amp;TEXT(INDEX(Helper!$C$2:$C$32,DAY(Helper!$Z$2+8)),"0%"),"")</f>
        <v/>
      </c>
      <c r="C27" s="27">
        <f>IF(MONTH(Helper!$Z$2+9)=MONTH(Tracker!$D$1),TEXT(Helper!$Z$2+9,"d")&amp;CHAR(10)&amp;TEXT(INDEX(Helper!$C$2:$C$32,DAY(Helper!$Z$2+9)),"0%"),"")</f>
        <v/>
      </c>
      <c r="D27" s="27">
        <f>IF(MONTH(Helper!$Z$2+10)=MONTH(Tracker!$D$1),TEXT(Helper!$Z$2+10,"d")&amp;CHAR(10)&amp;TEXT(INDEX(Helper!$C$2:$C$32,DAY(Helper!$Z$2+10)),"0%"),"")</f>
        <v/>
      </c>
      <c r="E27" s="27">
        <f>IF(MONTH(Helper!$Z$2+11)=MONTH(Tracker!$D$1),TEXT(Helper!$Z$2+11,"d")&amp;CHAR(10)&amp;TEXT(INDEX(Helper!$C$2:$C$32,DAY(Helper!$Z$2+11)),"0%"),"")</f>
        <v/>
      </c>
      <c r="F27" s="27">
        <f>IF(MONTH(Helper!$Z$2+12)=MONTH(Tracker!$D$1),TEXT(Helper!$Z$2+12,"d")&amp;CHAR(10)&amp;TEXT(INDEX(Helper!$C$2:$C$32,DAY(Helper!$Z$2+12)),"0%"),"")</f>
        <v/>
      </c>
      <c r="G27" s="27">
        <f>IF(MONTH(Helper!$Z$2+13)=MONTH(Tracker!$D$1),TEXT(Helper!$Z$2+13,"d")&amp;CHAR(10)&amp;TEXT(INDEX(Helper!$C$2:$C$32,DAY(Helper!$Z$2+13)),"0%"),"")</f>
        <v/>
      </c>
      <c r="N27" t="n">
        <v>10</v>
      </c>
      <c r="O27">
        <f>Helper!O11</f>
        <v/>
      </c>
      <c r="P27" s="24">
        <f>Helper!P11</f>
        <v/>
      </c>
      <c r="Q27">
        <f>Helper!Q11</f>
        <v/>
      </c>
      <c r="U27" s="24">
        <f>IF(MONTH(Helper!$Z$2+7)=MONTH(Tracker!$D$1),INDEX(Helper!$C$2:$C$32,DAY(Helper!$Z$2+7)),"")</f>
        <v/>
      </c>
      <c r="V27" s="24">
        <f>IF(MONTH(Helper!$Z$2+8)=MONTH(Tracker!$D$1),INDEX(Helper!$C$2:$C$32,DAY(Helper!$Z$2+8)),"")</f>
        <v/>
      </c>
      <c r="W27" s="24">
        <f>IF(MONTH(Helper!$Z$2+9)=MONTH(Tracker!$D$1),INDEX(Helper!$C$2:$C$32,DAY(Helper!$Z$2+9)),"")</f>
        <v/>
      </c>
      <c r="X27" s="24">
        <f>IF(MONTH(Helper!$Z$2+10)=MONTH(Tracker!$D$1),INDEX(Helper!$C$2:$C$32,DAY(Helper!$Z$2+10)),"")</f>
        <v/>
      </c>
      <c r="Y27" s="24">
        <f>IF(MONTH(Helper!$Z$2+11)=MONTH(Tracker!$D$1),INDEX(Helper!$C$2:$C$32,DAY(Helper!$Z$2+11)),"")</f>
        <v/>
      </c>
      <c r="Z27" s="24">
        <f>IF(MONTH(Helper!$Z$2+12)=MONTH(Tracker!$D$1),INDEX(Helper!$C$2:$C$32,DAY(Helper!$Z$2+12)),"")</f>
        <v/>
      </c>
      <c r="AA27" s="24">
        <f>IF(MONTH(Helper!$Z$2+13)=MONTH(Tracker!$D$1),INDEX(Helper!$C$2:$C$32,DAY(Helper!$Z$2+13)),"")</f>
        <v/>
      </c>
    </row>
    <row r="28" ht="34" customHeight="1">
      <c r="A28" s="27">
        <f>IF(MONTH(Helper!$Z$2+14)=MONTH(Tracker!$D$1),TEXT(Helper!$Z$2+14,"d")&amp;CHAR(10)&amp;TEXT(INDEX(Helper!$C$2:$C$32,DAY(Helper!$Z$2+14)),"0%"),"")</f>
        <v/>
      </c>
      <c r="B28" s="27">
        <f>IF(MONTH(Helper!$Z$2+15)=MONTH(Tracker!$D$1),TEXT(Helper!$Z$2+15,"d")&amp;CHAR(10)&amp;TEXT(INDEX(Helper!$C$2:$C$32,DAY(Helper!$Z$2+15)),"0%"),"")</f>
        <v/>
      </c>
      <c r="C28" s="27">
        <f>IF(MONTH(Helper!$Z$2+16)=MONTH(Tracker!$D$1),TEXT(Helper!$Z$2+16,"d")&amp;CHAR(10)&amp;TEXT(INDEX(Helper!$C$2:$C$32,DAY(Helper!$Z$2+16)),"0%"),"")</f>
        <v/>
      </c>
      <c r="D28" s="27">
        <f>IF(MONTH(Helper!$Z$2+17)=MONTH(Tracker!$D$1),TEXT(Helper!$Z$2+17,"d")&amp;CHAR(10)&amp;TEXT(INDEX(Helper!$C$2:$C$32,DAY(Helper!$Z$2+17)),"0%"),"")</f>
        <v/>
      </c>
      <c r="E28" s="27">
        <f>IF(MONTH(Helper!$Z$2+18)=MONTH(Tracker!$D$1),TEXT(Helper!$Z$2+18,"d")&amp;CHAR(10)&amp;TEXT(INDEX(Helper!$C$2:$C$32,DAY(Helper!$Z$2+18)),"0%"),"")</f>
        <v/>
      </c>
      <c r="F28" s="27">
        <f>IF(MONTH(Helper!$Z$2+19)=MONTH(Tracker!$D$1),TEXT(Helper!$Z$2+19,"d")&amp;CHAR(10)&amp;TEXT(INDEX(Helper!$C$2:$C$32,DAY(Helper!$Z$2+19)),"0%"),"")</f>
        <v/>
      </c>
      <c r="G28" s="27">
        <f>IF(MONTH(Helper!$Z$2+20)=MONTH(Tracker!$D$1),TEXT(Helper!$Z$2+20,"d")&amp;CHAR(10)&amp;TEXT(INDEX(Helper!$C$2:$C$32,DAY(Helper!$Z$2+20)),"0%"),"")</f>
        <v/>
      </c>
      <c r="U28" s="24">
        <f>IF(MONTH(Helper!$Z$2+14)=MONTH(Tracker!$D$1),INDEX(Helper!$C$2:$C$32,DAY(Helper!$Z$2+14)),"")</f>
        <v/>
      </c>
      <c r="V28" s="24">
        <f>IF(MONTH(Helper!$Z$2+15)=MONTH(Tracker!$D$1),INDEX(Helper!$C$2:$C$32,DAY(Helper!$Z$2+15)),"")</f>
        <v/>
      </c>
      <c r="W28" s="24">
        <f>IF(MONTH(Helper!$Z$2+16)=MONTH(Tracker!$D$1),INDEX(Helper!$C$2:$C$32,DAY(Helper!$Z$2+16)),"")</f>
        <v/>
      </c>
      <c r="X28" s="24">
        <f>IF(MONTH(Helper!$Z$2+17)=MONTH(Tracker!$D$1),INDEX(Helper!$C$2:$C$32,DAY(Helper!$Z$2+17)),"")</f>
        <v/>
      </c>
      <c r="Y28" s="24">
        <f>IF(MONTH(Helper!$Z$2+18)=MONTH(Tracker!$D$1),INDEX(Helper!$C$2:$C$32,DAY(Helper!$Z$2+18)),"")</f>
        <v/>
      </c>
      <c r="Z28" s="24">
        <f>IF(MONTH(Helper!$Z$2+19)=MONTH(Tracker!$D$1),INDEX(Helper!$C$2:$C$32,DAY(Helper!$Z$2+19)),"")</f>
        <v/>
      </c>
      <c r="AA28" s="24">
        <f>IF(MONTH(Helper!$Z$2+20)=MONTH(Tracker!$D$1),INDEX(Helper!$C$2:$C$32,DAY(Helper!$Z$2+20)),"")</f>
        <v/>
      </c>
    </row>
    <row r="29" ht="34" customHeight="1">
      <c r="A29" s="27">
        <f>IF(MONTH(Helper!$Z$2+21)=MONTH(Tracker!$D$1),TEXT(Helper!$Z$2+21,"d")&amp;CHAR(10)&amp;TEXT(INDEX(Helper!$C$2:$C$32,DAY(Helper!$Z$2+21)),"0%"),"")</f>
        <v/>
      </c>
      <c r="B29" s="27">
        <f>IF(MONTH(Helper!$Z$2+22)=MONTH(Tracker!$D$1),TEXT(Helper!$Z$2+22,"d")&amp;CHAR(10)&amp;TEXT(INDEX(Helper!$C$2:$C$32,DAY(Helper!$Z$2+22)),"0%"),"")</f>
        <v/>
      </c>
      <c r="C29" s="27">
        <f>IF(MONTH(Helper!$Z$2+23)=MONTH(Tracker!$D$1),TEXT(Helper!$Z$2+23,"d")&amp;CHAR(10)&amp;TEXT(INDEX(Helper!$C$2:$C$32,DAY(Helper!$Z$2+23)),"0%"),"")</f>
        <v/>
      </c>
      <c r="D29" s="27">
        <f>IF(MONTH(Helper!$Z$2+24)=MONTH(Tracker!$D$1),TEXT(Helper!$Z$2+24,"d")&amp;CHAR(10)&amp;TEXT(INDEX(Helper!$C$2:$C$32,DAY(Helper!$Z$2+24)),"0%"),"")</f>
        <v/>
      </c>
      <c r="E29" s="27">
        <f>IF(MONTH(Helper!$Z$2+25)=MONTH(Tracker!$D$1),TEXT(Helper!$Z$2+25,"d")&amp;CHAR(10)&amp;TEXT(INDEX(Helper!$C$2:$C$32,DAY(Helper!$Z$2+25)),"0%"),"")</f>
        <v/>
      </c>
      <c r="F29" s="27">
        <f>IF(MONTH(Helper!$Z$2+26)=MONTH(Tracker!$D$1),TEXT(Helper!$Z$2+26,"d")&amp;CHAR(10)&amp;TEXT(INDEX(Helper!$C$2:$C$32,DAY(Helper!$Z$2+26)),"0%"),"")</f>
        <v/>
      </c>
      <c r="G29" s="27">
        <f>IF(MONTH(Helper!$Z$2+27)=MONTH(Tracker!$D$1),TEXT(Helper!$Z$2+27,"d")&amp;CHAR(10)&amp;TEXT(INDEX(Helper!$C$2:$C$32,DAY(Helper!$Z$2+27)),"0%"),"")</f>
        <v/>
      </c>
      <c r="U29" s="24">
        <f>IF(MONTH(Helper!$Z$2+21)=MONTH(Tracker!$D$1),INDEX(Helper!$C$2:$C$32,DAY(Helper!$Z$2+21)),"")</f>
        <v/>
      </c>
      <c r="V29" s="24">
        <f>IF(MONTH(Helper!$Z$2+22)=MONTH(Tracker!$D$1),INDEX(Helper!$C$2:$C$32,DAY(Helper!$Z$2+22)),"")</f>
        <v/>
      </c>
      <c r="W29" s="24">
        <f>IF(MONTH(Helper!$Z$2+23)=MONTH(Tracker!$D$1),INDEX(Helper!$C$2:$C$32,DAY(Helper!$Z$2+23)),"")</f>
        <v/>
      </c>
      <c r="X29" s="24">
        <f>IF(MONTH(Helper!$Z$2+24)=MONTH(Tracker!$D$1),INDEX(Helper!$C$2:$C$32,DAY(Helper!$Z$2+24)),"")</f>
        <v/>
      </c>
      <c r="Y29" s="24">
        <f>IF(MONTH(Helper!$Z$2+25)=MONTH(Tracker!$D$1),INDEX(Helper!$C$2:$C$32,DAY(Helper!$Z$2+25)),"")</f>
        <v/>
      </c>
      <c r="Z29" s="24">
        <f>IF(MONTH(Helper!$Z$2+26)=MONTH(Tracker!$D$1),INDEX(Helper!$C$2:$C$32,DAY(Helper!$Z$2+26)),"")</f>
        <v/>
      </c>
      <c r="AA29" s="24">
        <f>IF(MONTH(Helper!$Z$2+27)=MONTH(Tracker!$D$1),INDEX(Helper!$C$2:$C$32,DAY(Helper!$Z$2+27)),"")</f>
        <v/>
      </c>
    </row>
    <row r="30" ht="34" customHeight="1">
      <c r="A30" s="27">
        <f>IF(MONTH(Helper!$Z$2+28)=MONTH(Tracker!$D$1),TEXT(Helper!$Z$2+28,"d")&amp;CHAR(10)&amp;TEXT(INDEX(Helper!$C$2:$C$32,DAY(Helper!$Z$2+28)),"0%"),"")</f>
        <v/>
      </c>
      <c r="B30" s="27">
        <f>IF(MONTH(Helper!$Z$2+29)=MONTH(Tracker!$D$1),TEXT(Helper!$Z$2+29,"d")&amp;CHAR(10)&amp;TEXT(INDEX(Helper!$C$2:$C$32,DAY(Helper!$Z$2+29)),"0%"),"")</f>
        <v/>
      </c>
      <c r="C30" s="27">
        <f>IF(MONTH(Helper!$Z$2+30)=MONTH(Tracker!$D$1),TEXT(Helper!$Z$2+30,"d")&amp;CHAR(10)&amp;TEXT(INDEX(Helper!$C$2:$C$32,DAY(Helper!$Z$2+30)),"0%"),"")</f>
        <v/>
      </c>
      <c r="D30" s="27">
        <f>IF(MONTH(Helper!$Z$2+31)=MONTH(Tracker!$D$1),TEXT(Helper!$Z$2+31,"d")&amp;CHAR(10)&amp;TEXT(INDEX(Helper!$C$2:$C$32,DAY(Helper!$Z$2+31)),"0%"),"")</f>
        <v/>
      </c>
      <c r="E30" s="27">
        <f>IF(MONTH(Helper!$Z$2+32)=MONTH(Tracker!$D$1),TEXT(Helper!$Z$2+32,"d")&amp;CHAR(10)&amp;TEXT(INDEX(Helper!$C$2:$C$32,DAY(Helper!$Z$2+32)),"0%"),"")</f>
        <v/>
      </c>
      <c r="F30" s="27">
        <f>IF(MONTH(Helper!$Z$2+33)=MONTH(Tracker!$D$1),TEXT(Helper!$Z$2+33,"d")&amp;CHAR(10)&amp;TEXT(INDEX(Helper!$C$2:$C$32,DAY(Helper!$Z$2+33)),"0%"),"")</f>
        <v/>
      </c>
      <c r="G30" s="27">
        <f>IF(MONTH(Helper!$Z$2+34)=MONTH(Tracker!$D$1),TEXT(Helper!$Z$2+34,"d")&amp;CHAR(10)&amp;TEXT(INDEX(Helper!$C$2:$C$32,DAY(Helper!$Z$2+34)),"0%"),"")</f>
        <v/>
      </c>
      <c r="U30" s="24">
        <f>IF(MONTH(Helper!$Z$2+28)=MONTH(Tracker!$D$1),INDEX(Helper!$C$2:$C$32,DAY(Helper!$Z$2+28)),"")</f>
        <v/>
      </c>
      <c r="V30" s="24">
        <f>IF(MONTH(Helper!$Z$2+29)=MONTH(Tracker!$D$1),INDEX(Helper!$C$2:$C$32,DAY(Helper!$Z$2+29)),"")</f>
        <v/>
      </c>
      <c r="W30" s="24">
        <f>IF(MONTH(Helper!$Z$2+30)=MONTH(Tracker!$D$1),INDEX(Helper!$C$2:$C$32,DAY(Helper!$Z$2+30)),"")</f>
        <v/>
      </c>
      <c r="X30" s="24">
        <f>IF(MONTH(Helper!$Z$2+31)=MONTH(Tracker!$D$1),INDEX(Helper!$C$2:$C$32,DAY(Helper!$Z$2+31)),"")</f>
        <v/>
      </c>
      <c r="Y30" s="24">
        <f>IF(MONTH(Helper!$Z$2+32)=MONTH(Tracker!$D$1),INDEX(Helper!$C$2:$C$32,DAY(Helper!$Z$2+32)),"")</f>
        <v/>
      </c>
      <c r="Z30" s="24">
        <f>IF(MONTH(Helper!$Z$2+33)=MONTH(Tracker!$D$1),INDEX(Helper!$C$2:$C$32,DAY(Helper!$Z$2+33)),"")</f>
        <v/>
      </c>
      <c r="AA30" s="24">
        <f>IF(MONTH(Helper!$Z$2+34)=MONTH(Tracker!$D$1),INDEX(Helper!$C$2:$C$32,DAY(Helper!$Z$2+34)),"")</f>
        <v/>
      </c>
    </row>
    <row r="31" ht="34" customHeight="1">
      <c r="A31" s="27">
        <f>IF(MONTH(Helper!$Z$2+35)=MONTH(Tracker!$D$1),TEXT(Helper!$Z$2+35,"d")&amp;CHAR(10)&amp;TEXT(INDEX(Helper!$C$2:$C$32,DAY(Helper!$Z$2+35)),"0%"),"")</f>
        <v/>
      </c>
      <c r="B31" s="27">
        <f>IF(MONTH(Helper!$Z$2+36)=MONTH(Tracker!$D$1),TEXT(Helper!$Z$2+36,"d")&amp;CHAR(10)&amp;TEXT(INDEX(Helper!$C$2:$C$32,DAY(Helper!$Z$2+36)),"0%"),"")</f>
        <v/>
      </c>
      <c r="C31" s="27">
        <f>IF(MONTH(Helper!$Z$2+37)=MONTH(Tracker!$D$1),TEXT(Helper!$Z$2+37,"d")&amp;CHAR(10)&amp;TEXT(INDEX(Helper!$C$2:$C$32,DAY(Helper!$Z$2+37)),"0%"),"")</f>
        <v/>
      </c>
      <c r="D31" s="27">
        <f>IF(MONTH(Helper!$Z$2+38)=MONTH(Tracker!$D$1),TEXT(Helper!$Z$2+38,"d")&amp;CHAR(10)&amp;TEXT(INDEX(Helper!$C$2:$C$32,DAY(Helper!$Z$2+38)),"0%"),"")</f>
        <v/>
      </c>
      <c r="E31" s="27">
        <f>IF(MONTH(Helper!$Z$2+39)=MONTH(Tracker!$D$1),TEXT(Helper!$Z$2+39,"d")&amp;CHAR(10)&amp;TEXT(INDEX(Helper!$C$2:$C$32,DAY(Helper!$Z$2+39)),"0%"),"")</f>
        <v/>
      </c>
      <c r="F31" s="27">
        <f>IF(MONTH(Helper!$Z$2+40)=MONTH(Tracker!$D$1),TEXT(Helper!$Z$2+40,"d")&amp;CHAR(10)&amp;TEXT(INDEX(Helper!$C$2:$C$32,DAY(Helper!$Z$2+40)),"0%"),"")</f>
        <v/>
      </c>
      <c r="G31" s="27">
        <f>IF(MONTH(Helper!$Z$2+41)=MONTH(Tracker!$D$1),TEXT(Helper!$Z$2+41,"d")&amp;CHAR(10)&amp;TEXT(INDEX(Helper!$C$2:$C$32,DAY(Helper!$Z$2+41)),"0%"),"")</f>
        <v/>
      </c>
      <c r="U31" s="24">
        <f>IF(MONTH(Helper!$Z$2+35)=MONTH(Tracker!$D$1),INDEX(Helper!$C$2:$C$32,DAY(Helper!$Z$2+35)),"")</f>
        <v/>
      </c>
      <c r="V31" s="24">
        <f>IF(MONTH(Helper!$Z$2+36)=MONTH(Tracker!$D$1),INDEX(Helper!$C$2:$C$32,DAY(Helper!$Z$2+36)),"")</f>
        <v/>
      </c>
      <c r="W31" s="24">
        <f>IF(MONTH(Helper!$Z$2+37)=MONTH(Tracker!$D$1),INDEX(Helper!$C$2:$C$32,DAY(Helper!$Z$2+37)),"")</f>
        <v/>
      </c>
      <c r="X31" s="24">
        <f>IF(MONTH(Helper!$Z$2+38)=MONTH(Tracker!$D$1),INDEX(Helper!$C$2:$C$32,DAY(Helper!$Z$2+38)),"")</f>
        <v/>
      </c>
      <c r="Y31" s="24">
        <f>IF(MONTH(Helper!$Z$2+39)=MONTH(Tracker!$D$1),INDEX(Helper!$C$2:$C$32,DAY(Helper!$Z$2+39)),"")</f>
        <v/>
      </c>
      <c r="Z31" s="24">
        <f>IF(MONTH(Helper!$Z$2+40)=MONTH(Tracker!$D$1),INDEX(Helper!$C$2:$C$32,DAY(Helper!$Z$2+40)),"")</f>
        <v/>
      </c>
      <c r="AA31" s="24">
        <f>IF(MONTH(Helper!$Z$2+41)=MONTH(Tracker!$D$1),INDEX(Helper!$C$2:$C$32,DAY(Helper!$Z$2+41)),"")</f>
        <v/>
      </c>
    </row>
    <row r="33">
      <c r="A33" s="2" t="inlineStr">
        <is>
          <t>Legend</t>
        </is>
      </c>
      <c r="B33" s="2" t="n"/>
    </row>
    <row r="34">
      <c r="A34" s="2" t="inlineStr">
        <is>
          <t>Success</t>
        </is>
      </c>
      <c r="B34" s="28" t="inlineStr">
        <is>
          <t>#6BBF77</t>
        </is>
      </c>
    </row>
    <row r="35">
      <c r="A35" s="2" t="inlineStr">
        <is>
          <t>Warning</t>
        </is>
      </c>
      <c r="B35" s="29" t="inlineStr">
        <is>
          <t>#D9A441</t>
        </is>
      </c>
    </row>
    <row r="36">
      <c r="A36" s="2" t="inlineStr">
        <is>
          <t>Background</t>
        </is>
      </c>
      <c r="B36" s="30" t="inlineStr">
        <is>
          <t>#EEF2F4</t>
        </is>
      </c>
    </row>
  </sheetData>
  <mergeCells count="1">
    <mergeCell ref="A1:Q2"/>
  </mergeCells>
  <conditionalFormatting sqref="A26:G31">
    <cfRule type="expression" priority="1" dxfId="0">
      <formula>U26=""</formula>
    </cfRule>
    <cfRule type="expression" priority="2" dxfId="1">
      <formula>AND(U26&lt;&gt;"",U26&lt;0.2)</formula>
    </cfRule>
    <cfRule type="expression" priority="3" dxfId="2">
      <formula>AND(U26&gt;=0.2,U26&lt;0.4)</formula>
    </cfRule>
    <cfRule type="expression" priority="4" dxfId="3">
      <formula>AND(U26&gt;=0.4,U26&lt;0.6)</formula>
    </cfRule>
    <cfRule type="expression" priority="5" dxfId="4">
      <formula>AND(U26&gt;=0.6,U26&lt;0.8)</formula>
    </cfRule>
    <cfRule type="expression" priority="6" dxfId="5">
      <formula>U26&gt;=0.8</formula>
    </cfRule>
  </conditionalFormatting>
  <conditionalFormatting sqref="D5">
    <cfRule type="cellIs" priority="7" operator="greaterThanOrEqual" dxfId="6">
      <formula>0.8</formula>
    </cfRule>
    <cfRule type="cellIs" priority="8" operator="between" dxfId="7">
      <formula>0.4</formula>
      <formula>0.8</formula>
    </cfRule>
    <cfRule type="cellIs" priority="9" operator="lessThan" dxfId="8">
      <formula>0.4</formula>
    </cfRule>
  </conditionalFormatting>
  <dataValidations count="1">
    <dataValidation sqref="Q11" showDropDown="0" showInputMessage="0" showErrorMessage="0" allowBlank="0" type="list">
      <formula1>"5,10,20"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L3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15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14" customWidth="1" min="35" max="35"/>
    <col width="14" customWidth="1" min="36" max="36"/>
    <col width="14" customWidth="1" min="37" max="37"/>
    <col width="14" customWidth="1" min="38" max="38"/>
  </cols>
  <sheetData>
    <row r="1" ht="24" customHeight="1">
      <c r="A1" s="31" t="inlineStr">
        <is>
          <t>Selected Month</t>
        </is>
      </c>
      <c r="D1" s="32" t="n">
        <v>46082</v>
      </c>
      <c r="F1" s="33" t="inlineStr">
        <is>
          <t>Change D1 to switch months</t>
        </is>
      </c>
    </row>
    <row r="2" ht="24" customHeight="1">
      <c r="A2" s="34" t="inlineStr">
        <is>
          <t>#</t>
        </is>
      </c>
      <c r="B2" s="34" t="inlineStr">
        <is>
          <t>Habit</t>
        </is>
      </c>
      <c r="C2" s="34" t="inlineStr">
        <is>
          <t>Category</t>
        </is>
      </c>
      <c r="D2" s="35" t="n">
        <v>1</v>
      </c>
      <c r="E2" s="35" t="n">
        <v>2</v>
      </c>
      <c r="F2" s="35" t="n">
        <v>3</v>
      </c>
      <c r="G2" s="35" t="n">
        <v>4</v>
      </c>
      <c r="H2" s="35" t="n">
        <v>5</v>
      </c>
      <c r="I2" s="35" t="n">
        <v>6</v>
      </c>
      <c r="J2" s="35" t="n">
        <v>7</v>
      </c>
      <c r="K2" s="35" t="n">
        <v>8</v>
      </c>
      <c r="L2" s="35" t="n">
        <v>9</v>
      </c>
      <c r="M2" s="35" t="n">
        <v>10</v>
      </c>
      <c r="N2" s="35" t="n">
        <v>11</v>
      </c>
      <c r="O2" s="35" t="n">
        <v>12</v>
      </c>
      <c r="P2" s="35" t="n">
        <v>13</v>
      </c>
      <c r="Q2" s="35" t="n">
        <v>14</v>
      </c>
      <c r="R2" s="35" t="n">
        <v>15</v>
      </c>
      <c r="S2" s="35" t="n">
        <v>16</v>
      </c>
      <c r="T2" s="35" t="n">
        <v>17</v>
      </c>
      <c r="U2" s="35" t="n">
        <v>18</v>
      </c>
      <c r="V2" s="35" t="n">
        <v>19</v>
      </c>
      <c r="W2" s="35" t="n">
        <v>20</v>
      </c>
      <c r="X2" s="35" t="n">
        <v>21</v>
      </c>
      <c r="Y2" s="35" t="n">
        <v>22</v>
      </c>
      <c r="Z2" s="35" t="n">
        <v>23</v>
      </c>
      <c r="AA2" s="35" t="n">
        <v>24</v>
      </c>
      <c r="AB2" s="35" t="n">
        <v>25</v>
      </c>
      <c r="AC2" s="35" t="n">
        <v>26</v>
      </c>
      <c r="AD2" s="35" t="n">
        <v>27</v>
      </c>
      <c r="AE2" s="35" t="n">
        <v>28</v>
      </c>
      <c r="AF2" s="35" t="n">
        <v>29</v>
      </c>
      <c r="AG2" s="35" t="n">
        <v>30</v>
      </c>
      <c r="AH2" s="35" t="n">
        <v>31</v>
      </c>
      <c r="AI2" s="34" t="inlineStr">
        <is>
          <t>Progress %</t>
        </is>
      </c>
      <c r="AJ2" s="34" t="inlineStr">
        <is>
          <t>Longest Streak</t>
        </is>
      </c>
      <c r="AK2" s="34" t="inlineStr">
        <is>
          <t>Current Streak</t>
        </is>
      </c>
      <c r="AL2" s="34" t="inlineStr">
        <is>
          <t>Sparkline</t>
        </is>
      </c>
    </row>
    <row r="3">
      <c r="A3" s="19" t="n">
        <v>1</v>
      </c>
      <c r="B3" s="19">
        <f>IF(Habits!B2="","",Habits!B2)</f>
        <v/>
      </c>
      <c r="C3" s="19">
        <f>IF(Habits!C2="","",Habits!C2)</f>
        <v/>
      </c>
      <c r="D3" s="36" t="b">
        <v>0</v>
      </c>
      <c r="E3" s="36" t="b">
        <v>0</v>
      </c>
      <c r="F3" s="36" t="b">
        <v>0</v>
      </c>
      <c r="G3" s="36" t="b">
        <v>0</v>
      </c>
      <c r="H3" s="36" t="b">
        <v>0</v>
      </c>
      <c r="I3" s="36" t="b">
        <v>0</v>
      </c>
      <c r="J3" s="36" t="b">
        <v>0</v>
      </c>
      <c r="K3" s="36" t="b">
        <v>0</v>
      </c>
      <c r="L3" s="36" t="b">
        <v>0</v>
      </c>
      <c r="M3" s="36" t="b">
        <v>0</v>
      </c>
      <c r="N3" s="36" t="b">
        <v>0</v>
      </c>
      <c r="O3" s="36" t="b">
        <v>0</v>
      </c>
      <c r="P3" s="36" t="b">
        <v>0</v>
      </c>
      <c r="Q3" s="36" t="b">
        <v>0</v>
      </c>
      <c r="R3" s="36" t="b">
        <v>0</v>
      </c>
      <c r="S3" s="36" t="b">
        <v>0</v>
      </c>
      <c r="T3" s="36" t="b">
        <v>0</v>
      </c>
      <c r="U3" s="36" t="b">
        <v>0</v>
      </c>
      <c r="V3" s="36" t="b">
        <v>0</v>
      </c>
      <c r="W3" s="36" t="b">
        <v>0</v>
      </c>
      <c r="X3" s="36" t="b">
        <v>0</v>
      </c>
      <c r="Y3" s="36" t="b">
        <v>0</v>
      </c>
      <c r="Z3" s="36" t="b">
        <v>0</v>
      </c>
      <c r="AA3" s="36" t="b">
        <v>0</v>
      </c>
      <c r="AB3" s="36" t="b">
        <v>0</v>
      </c>
      <c r="AC3" s="36" t="b">
        <v>0</v>
      </c>
      <c r="AD3" s="36" t="b">
        <v>0</v>
      </c>
      <c r="AE3" s="36" t="b">
        <v>0</v>
      </c>
      <c r="AF3" s="36" t="b">
        <v>0</v>
      </c>
      <c r="AG3" s="36" t="b">
        <v>0</v>
      </c>
      <c r="AH3" s="36" t="b">
        <v>0</v>
      </c>
      <c r="AI3" s="23">
        <f>IFERROR(COUNTIF(D3:INDEX($D3:$AH3,1,Helper!$AA$2),TRUE)/Helper!$AA$2,0)</f>
        <v/>
      </c>
      <c r="AJ3" s="19">
        <f>IF(Helper!$AA$2=0,0,MAX(ARRAYFORMULA(FREQUENCY(IF(D3:INDEX($D3:$AH3,1,Helper!$AA$2)=TRUE,COLUMN(D3:INDEX($D3:$AH3,1,Helper!$AA$2))),IF(D3:INDEX($D3:$AH3,1,Helper!$AA$2)=FALSE,COLUMN(D3:INDEX($D3:$AH3,1,Helper!$AA$2)))))))</f>
        <v/>
      </c>
      <c r="AK3" s="19">
        <f>IF(Helper!$AA$2=0,0,IF(INDEX($D3:$AH3,1,Helper!$AA$2)=FALSE,0,IFERROR(Helper!$AA$2-LOOKUP(2,1/(D3:INDEX($D3:$AH3,1,Helper!$AA$2)=FALSE),COLUMN(D3:INDEX($D3:$AH3,1,Helper!$AA$2))-COLUMN(D3)+1),Helper!$AA$2)))</f>
        <v/>
      </c>
      <c r="AL3" s="36">
        <f>IF(Helper!$AA$2=0,"",SPARKLINE(ARRAYFORMULA(N(D3:INDEX($D3:$AH3,1,Helper!$AA$2))),{"charttype","column";"max",1;"color1","#6BBF77";"empty","ignore"}))</f>
        <v/>
      </c>
    </row>
    <row r="4">
      <c r="A4" s="2" t="n">
        <v>2</v>
      </c>
      <c r="B4" s="2">
        <f>IF(Habits!B3="","",Habits!B3)</f>
        <v/>
      </c>
      <c r="C4" s="2">
        <f>IF(Habits!C3="","",Habits!C3)</f>
        <v/>
      </c>
      <c r="D4" s="37" t="b">
        <v>0</v>
      </c>
      <c r="E4" s="37" t="b">
        <v>0</v>
      </c>
      <c r="F4" s="37" t="b">
        <v>0</v>
      </c>
      <c r="G4" s="37" t="b">
        <v>0</v>
      </c>
      <c r="H4" s="37" t="b">
        <v>0</v>
      </c>
      <c r="I4" s="37" t="b">
        <v>0</v>
      </c>
      <c r="J4" s="37" t="b">
        <v>0</v>
      </c>
      <c r="K4" s="37" t="b">
        <v>0</v>
      </c>
      <c r="L4" s="37" t="b">
        <v>0</v>
      </c>
      <c r="M4" s="37" t="b">
        <v>0</v>
      </c>
      <c r="N4" s="37" t="b">
        <v>0</v>
      </c>
      <c r="O4" s="37" t="b">
        <v>0</v>
      </c>
      <c r="P4" s="37" t="b">
        <v>0</v>
      </c>
      <c r="Q4" s="37" t="b">
        <v>0</v>
      </c>
      <c r="R4" s="37" t="b">
        <v>0</v>
      </c>
      <c r="S4" s="37" t="b">
        <v>0</v>
      </c>
      <c r="T4" s="37" t="b">
        <v>0</v>
      </c>
      <c r="U4" s="37" t="b">
        <v>0</v>
      </c>
      <c r="V4" s="37" t="b">
        <v>0</v>
      </c>
      <c r="W4" s="37" t="b">
        <v>0</v>
      </c>
      <c r="X4" s="37" t="b">
        <v>0</v>
      </c>
      <c r="Y4" s="37" t="b">
        <v>0</v>
      </c>
      <c r="Z4" s="37" t="b">
        <v>0</v>
      </c>
      <c r="AA4" s="37" t="b">
        <v>0</v>
      </c>
      <c r="AB4" s="37" t="b">
        <v>0</v>
      </c>
      <c r="AC4" s="37" t="b">
        <v>0</v>
      </c>
      <c r="AD4" s="37" t="b">
        <v>0</v>
      </c>
      <c r="AE4" s="37" t="b">
        <v>0</v>
      </c>
      <c r="AF4" s="37" t="b">
        <v>0</v>
      </c>
      <c r="AG4" s="37" t="b">
        <v>0</v>
      </c>
      <c r="AH4" s="37" t="b">
        <v>0</v>
      </c>
      <c r="AI4" s="38">
        <f>IFERROR(COUNTIF(D4:INDEX($D4:$AH4,1,Helper!$AA$2),TRUE)/Helper!$AA$2,0)</f>
        <v/>
      </c>
      <c r="AJ4" s="2">
        <f>IF(Helper!$AA$2=0,0,MAX(ARRAYFORMULA(FREQUENCY(IF(D4:INDEX($D4:$AH4,1,Helper!$AA$2)=TRUE,COLUMN(D4:INDEX($D4:$AH4,1,Helper!$AA$2))),IF(D4:INDEX($D4:$AH4,1,Helper!$AA$2)=FALSE,COLUMN(D4:INDEX($D4:$AH4,1,Helper!$AA$2)))))))</f>
        <v/>
      </c>
      <c r="AK4" s="2">
        <f>IF(Helper!$AA$2=0,0,IF(INDEX($D4:$AH4,1,Helper!$AA$2)=FALSE,0,IFERROR(Helper!$AA$2-LOOKUP(2,1/(D4:INDEX($D4:$AH4,1,Helper!$AA$2)=FALSE),COLUMN(D4:INDEX($D4:$AH4,1,Helper!$AA$2))-COLUMN(D4)+1),Helper!$AA$2)))</f>
        <v/>
      </c>
      <c r="AL4" s="37">
        <f>IF(Helper!$AA$2=0,"",SPARKLINE(ARRAYFORMULA(N(D4:INDEX($D4:$AH4,1,Helper!$AA$2))),{"charttype","column";"max",1;"color1","#6BBF77";"empty","ignore"}))</f>
        <v/>
      </c>
    </row>
    <row r="5">
      <c r="A5" s="19" t="n">
        <v>3</v>
      </c>
      <c r="B5" s="19">
        <f>IF(Habits!B4="","",Habits!B4)</f>
        <v/>
      </c>
      <c r="C5" s="19">
        <f>IF(Habits!C4="","",Habits!C4)</f>
        <v/>
      </c>
      <c r="D5" s="36" t="b">
        <v>0</v>
      </c>
      <c r="E5" s="36" t="b">
        <v>0</v>
      </c>
      <c r="F5" s="36" t="b">
        <v>0</v>
      </c>
      <c r="G5" s="36" t="b">
        <v>0</v>
      </c>
      <c r="H5" s="36" t="b">
        <v>0</v>
      </c>
      <c r="I5" s="36" t="b">
        <v>0</v>
      </c>
      <c r="J5" s="36" t="b">
        <v>0</v>
      </c>
      <c r="K5" s="36" t="b">
        <v>0</v>
      </c>
      <c r="L5" s="36" t="b">
        <v>0</v>
      </c>
      <c r="M5" s="36" t="b">
        <v>0</v>
      </c>
      <c r="N5" s="36" t="b">
        <v>0</v>
      </c>
      <c r="O5" s="36" t="b">
        <v>0</v>
      </c>
      <c r="P5" s="36" t="b">
        <v>0</v>
      </c>
      <c r="Q5" s="36" t="b">
        <v>0</v>
      </c>
      <c r="R5" s="36" t="b">
        <v>0</v>
      </c>
      <c r="S5" s="36" t="b">
        <v>0</v>
      </c>
      <c r="T5" s="36" t="b">
        <v>0</v>
      </c>
      <c r="U5" s="36" t="b">
        <v>0</v>
      </c>
      <c r="V5" s="36" t="b">
        <v>0</v>
      </c>
      <c r="W5" s="36" t="b">
        <v>0</v>
      </c>
      <c r="X5" s="36" t="b">
        <v>0</v>
      </c>
      <c r="Y5" s="36" t="b">
        <v>0</v>
      </c>
      <c r="Z5" s="36" t="b">
        <v>0</v>
      </c>
      <c r="AA5" s="36" t="b">
        <v>0</v>
      </c>
      <c r="AB5" s="36" t="b">
        <v>0</v>
      </c>
      <c r="AC5" s="36" t="b">
        <v>0</v>
      </c>
      <c r="AD5" s="36" t="b">
        <v>0</v>
      </c>
      <c r="AE5" s="36" t="b">
        <v>0</v>
      </c>
      <c r="AF5" s="36" t="b">
        <v>0</v>
      </c>
      <c r="AG5" s="36" t="b">
        <v>0</v>
      </c>
      <c r="AH5" s="36" t="b">
        <v>0</v>
      </c>
      <c r="AI5" s="23">
        <f>IFERROR(COUNTIF(D5:INDEX($D5:$AH5,1,Helper!$AA$2),TRUE)/Helper!$AA$2,0)</f>
        <v/>
      </c>
      <c r="AJ5" s="19">
        <f>IF(Helper!$AA$2=0,0,MAX(ARRAYFORMULA(FREQUENCY(IF(D5:INDEX($D5:$AH5,1,Helper!$AA$2)=TRUE,COLUMN(D5:INDEX($D5:$AH5,1,Helper!$AA$2))),IF(D5:INDEX($D5:$AH5,1,Helper!$AA$2)=FALSE,COLUMN(D5:INDEX($D5:$AH5,1,Helper!$AA$2)))))))</f>
        <v/>
      </c>
      <c r="AK5" s="19">
        <f>IF(Helper!$AA$2=0,0,IF(INDEX($D5:$AH5,1,Helper!$AA$2)=FALSE,0,IFERROR(Helper!$AA$2-LOOKUP(2,1/(D5:INDEX($D5:$AH5,1,Helper!$AA$2)=FALSE),COLUMN(D5:INDEX($D5:$AH5,1,Helper!$AA$2))-COLUMN(D5)+1),Helper!$AA$2)))</f>
        <v/>
      </c>
      <c r="AL5" s="36">
        <f>IF(Helper!$AA$2=0,"",SPARKLINE(ARRAYFORMULA(N(D5:INDEX($D5:$AH5,1,Helper!$AA$2))),{"charttype","column";"max",1;"color1","#6BBF77";"empty","ignore"}))</f>
        <v/>
      </c>
    </row>
    <row r="6">
      <c r="A6" s="2" t="n">
        <v>4</v>
      </c>
      <c r="B6" s="2">
        <f>IF(Habits!B5="","",Habits!B5)</f>
        <v/>
      </c>
      <c r="C6" s="2">
        <f>IF(Habits!C5="","",Habits!C5)</f>
        <v/>
      </c>
      <c r="D6" s="37" t="b">
        <v>0</v>
      </c>
      <c r="E6" s="37" t="b">
        <v>0</v>
      </c>
      <c r="F6" s="37" t="b">
        <v>0</v>
      </c>
      <c r="G6" s="37" t="b">
        <v>0</v>
      </c>
      <c r="H6" s="37" t="b">
        <v>0</v>
      </c>
      <c r="I6" s="37" t="b">
        <v>0</v>
      </c>
      <c r="J6" s="37" t="b">
        <v>0</v>
      </c>
      <c r="K6" s="37" t="b">
        <v>0</v>
      </c>
      <c r="L6" s="37" t="b">
        <v>0</v>
      </c>
      <c r="M6" s="37" t="b">
        <v>0</v>
      </c>
      <c r="N6" s="37" t="b">
        <v>0</v>
      </c>
      <c r="O6" s="37" t="b">
        <v>0</v>
      </c>
      <c r="P6" s="37" t="b">
        <v>0</v>
      </c>
      <c r="Q6" s="37" t="b">
        <v>0</v>
      </c>
      <c r="R6" s="37" t="b">
        <v>0</v>
      </c>
      <c r="S6" s="37" t="b">
        <v>0</v>
      </c>
      <c r="T6" s="37" t="b">
        <v>0</v>
      </c>
      <c r="U6" s="37" t="b">
        <v>0</v>
      </c>
      <c r="V6" s="37" t="b">
        <v>0</v>
      </c>
      <c r="W6" s="37" t="b">
        <v>0</v>
      </c>
      <c r="X6" s="37" t="b">
        <v>0</v>
      </c>
      <c r="Y6" s="37" t="b">
        <v>0</v>
      </c>
      <c r="Z6" s="37" t="b">
        <v>0</v>
      </c>
      <c r="AA6" s="37" t="b">
        <v>0</v>
      </c>
      <c r="AB6" s="37" t="b">
        <v>0</v>
      </c>
      <c r="AC6" s="37" t="b">
        <v>0</v>
      </c>
      <c r="AD6" s="37" t="b">
        <v>0</v>
      </c>
      <c r="AE6" s="37" t="b">
        <v>0</v>
      </c>
      <c r="AF6" s="37" t="b">
        <v>0</v>
      </c>
      <c r="AG6" s="37" t="b">
        <v>0</v>
      </c>
      <c r="AH6" s="37" t="b">
        <v>0</v>
      </c>
      <c r="AI6" s="38">
        <f>IFERROR(COUNTIF(D6:INDEX($D6:$AH6,1,Helper!$AA$2),TRUE)/Helper!$AA$2,0)</f>
        <v/>
      </c>
      <c r="AJ6" s="2">
        <f>IF(Helper!$AA$2=0,0,MAX(ARRAYFORMULA(FREQUENCY(IF(D6:INDEX($D6:$AH6,1,Helper!$AA$2)=TRUE,COLUMN(D6:INDEX($D6:$AH6,1,Helper!$AA$2))),IF(D6:INDEX($D6:$AH6,1,Helper!$AA$2)=FALSE,COLUMN(D6:INDEX($D6:$AH6,1,Helper!$AA$2)))))))</f>
        <v/>
      </c>
      <c r="AK6" s="2">
        <f>IF(Helper!$AA$2=0,0,IF(INDEX($D6:$AH6,1,Helper!$AA$2)=FALSE,0,IFERROR(Helper!$AA$2-LOOKUP(2,1/(D6:INDEX($D6:$AH6,1,Helper!$AA$2)=FALSE),COLUMN(D6:INDEX($D6:$AH6,1,Helper!$AA$2))-COLUMN(D6)+1),Helper!$AA$2)))</f>
        <v/>
      </c>
      <c r="AL6" s="37">
        <f>IF(Helper!$AA$2=0,"",SPARKLINE(ARRAYFORMULA(N(D6:INDEX($D6:$AH6,1,Helper!$AA$2))),{"charttype","column";"max",1;"color1","#6BBF77";"empty","ignore"}))</f>
        <v/>
      </c>
    </row>
    <row r="7">
      <c r="A7" s="19" t="n">
        <v>5</v>
      </c>
      <c r="B7" s="19">
        <f>IF(Habits!B6="","",Habits!B6)</f>
        <v/>
      </c>
      <c r="C7" s="19">
        <f>IF(Habits!C6="","",Habits!C6)</f>
        <v/>
      </c>
      <c r="D7" s="36" t="b">
        <v>0</v>
      </c>
      <c r="E7" s="36" t="b">
        <v>0</v>
      </c>
      <c r="F7" s="36" t="b">
        <v>0</v>
      </c>
      <c r="G7" s="36" t="b">
        <v>0</v>
      </c>
      <c r="H7" s="36" t="b">
        <v>0</v>
      </c>
      <c r="I7" s="36" t="b">
        <v>0</v>
      </c>
      <c r="J7" s="36" t="b">
        <v>0</v>
      </c>
      <c r="K7" s="36" t="b">
        <v>0</v>
      </c>
      <c r="L7" s="36" t="b">
        <v>0</v>
      </c>
      <c r="M7" s="36" t="b">
        <v>0</v>
      </c>
      <c r="N7" s="36" t="b">
        <v>0</v>
      </c>
      <c r="O7" s="36" t="b">
        <v>0</v>
      </c>
      <c r="P7" s="36" t="b">
        <v>0</v>
      </c>
      <c r="Q7" s="36" t="b">
        <v>0</v>
      </c>
      <c r="R7" s="36" t="b">
        <v>0</v>
      </c>
      <c r="S7" s="36" t="b">
        <v>0</v>
      </c>
      <c r="T7" s="36" t="b">
        <v>0</v>
      </c>
      <c r="U7" s="36" t="b">
        <v>0</v>
      </c>
      <c r="V7" s="36" t="b">
        <v>0</v>
      </c>
      <c r="W7" s="36" t="b">
        <v>0</v>
      </c>
      <c r="X7" s="36" t="b">
        <v>0</v>
      </c>
      <c r="Y7" s="36" t="b">
        <v>0</v>
      </c>
      <c r="Z7" s="36" t="b">
        <v>0</v>
      </c>
      <c r="AA7" s="36" t="b">
        <v>0</v>
      </c>
      <c r="AB7" s="36" t="b">
        <v>0</v>
      </c>
      <c r="AC7" s="36" t="b">
        <v>0</v>
      </c>
      <c r="AD7" s="36" t="b">
        <v>0</v>
      </c>
      <c r="AE7" s="36" t="b">
        <v>0</v>
      </c>
      <c r="AF7" s="36" t="b">
        <v>0</v>
      </c>
      <c r="AG7" s="36" t="b">
        <v>0</v>
      </c>
      <c r="AH7" s="36" t="b">
        <v>0</v>
      </c>
      <c r="AI7" s="23">
        <f>IFERROR(COUNTIF(D7:INDEX($D7:$AH7,1,Helper!$AA$2),TRUE)/Helper!$AA$2,0)</f>
        <v/>
      </c>
      <c r="AJ7" s="19">
        <f>IF(Helper!$AA$2=0,0,MAX(ARRAYFORMULA(FREQUENCY(IF(D7:INDEX($D7:$AH7,1,Helper!$AA$2)=TRUE,COLUMN(D7:INDEX($D7:$AH7,1,Helper!$AA$2))),IF(D7:INDEX($D7:$AH7,1,Helper!$AA$2)=FALSE,COLUMN(D7:INDEX($D7:$AH7,1,Helper!$AA$2)))))))</f>
        <v/>
      </c>
      <c r="AK7" s="19">
        <f>IF(Helper!$AA$2=0,0,IF(INDEX($D7:$AH7,1,Helper!$AA$2)=FALSE,0,IFERROR(Helper!$AA$2-LOOKUP(2,1/(D7:INDEX($D7:$AH7,1,Helper!$AA$2)=FALSE),COLUMN(D7:INDEX($D7:$AH7,1,Helper!$AA$2))-COLUMN(D7)+1),Helper!$AA$2)))</f>
        <v/>
      </c>
      <c r="AL7" s="36">
        <f>IF(Helper!$AA$2=0,"",SPARKLINE(ARRAYFORMULA(N(D7:INDEX($D7:$AH7,1,Helper!$AA$2))),{"charttype","column";"max",1;"color1","#6BBF77";"empty","ignore"}))</f>
        <v/>
      </c>
    </row>
    <row r="8">
      <c r="A8" s="2" t="n">
        <v>6</v>
      </c>
      <c r="B8" s="2">
        <f>IF(Habits!B7="","",Habits!B7)</f>
        <v/>
      </c>
      <c r="C8" s="2">
        <f>IF(Habits!C7="","",Habits!C7)</f>
        <v/>
      </c>
      <c r="D8" s="37" t="b">
        <v>0</v>
      </c>
      <c r="E8" s="37" t="b">
        <v>0</v>
      </c>
      <c r="F8" s="37" t="b">
        <v>0</v>
      </c>
      <c r="G8" s="37" t="b">
        <v>0</v>
      </c>
      <c r="H8" s="37" t="b">
        <v>0</v>
      </c>
      <c r="I8" s="37" t="b">
        <v>0</v>
      </c>
      <c r="J8" s="37" t="b">
        <v>0</v>
      </c>
      <c r="K8" s="37" t="b">
        <v>0</v>
      </c>
      <c r="L8" s="37" t="b">
        <v>0</v>
      </c>
      <c r="M8" s="37" t="b">
        <v>0</v>
      </c>
      <c r="N8" s="37" t="b">
        <v>0</v>
      </c>
      <c r="O8" s="37" t="b">
        <v>0</v>
      </c>
      <c r="P8" s="37" t="b">
        <v>0</v>
      </c>
      <c r="Q8" s="37" t="b">
        <v>0</v>
      </c>
      <c r="R8" s="37" t="b">
        <v>0</v>
      </c>
      <c r="S8" s="37" t="b">
        <v>0</v>
      </c>
      <c r="T8" s="37" t="b">
        <v>0</v>
      </c>
      <c r="U8" s="37" t="b">
        <v>0</v>
      </c>
      <c r="V8" s="37" t="b">
        <v>0</v>
      </c>
      <c r="W8" s="37" t="b">
        <v>0</v>
      </c>
      <c r="X8" s="37" t="b">
        <v>0</v>
      </c>
      <c r="Y8" s="37" t="b">
        <v>0</v>
      </c>
      <c r="Z8" s="37" t="b">
        <v>0</v>
      </c>
      <c r="AA8" s="37" t="b">
        <v>0</v>
      </c>
      <c r="AB8" s="37" t="b">
        <v>0</v>
      </c>
      <c r="AC8" s="37" t="b">
        <v>0</v>
      </c>
      <c r="AD8" s="37" t="b">
        <v>0</v>
      </c>
      <c r="AE8" s="37" t="b">
        <v>0</v>
      </c>
      <c r="AF8" s="37" t="b">
        <v>0</v>
      </c>
      <c r="AG8" s="37" t="b">
        <v>0</v>
      </c>
      <c r="AH8" s="37" t="b">
        <v>0</v>
      </c>
      <c r="AI8" s="38">
        <f>IFERROR(COUNTIF(D8:INDEX($D8:$AH8,1,Helper!$AA$2),TRUE)/Helper!$AA$2,0)</f>
        <v/>
      </c>
      <c r="AJ8" s="2">
        <f>IF(Helper!$AA$2=0,0,MAX(ARRAYFORMULA(FREQUENCY(IF(D8:INDEX($D8:$AH8,1,Helper!$AA$2)=TRUE,COLUMN(D8:INDEX($D8:$AH8,1,Helper!$AA$2))),IF(D8:INDEX($D8:$AH8,1,Helper!$AA$2)=FALSE,COLUMN(D8:INDEX($D8:$AH8,1,Helper!$AA$2)))))))</f>
        <v/>
      </c>
      <c r="AK8" s="2">
        <f>IF(Helper!$AA$2=0,0,IF(INDEX($D8:$AH8,1,Helper!$AA$2)=FALSE,0,IFERROR(Helper!$AA$2-LOOKUP(2,1/(D8:INDEX($D8:$AH8,1,Helper!$AA$2)=FALSE),COLUMN(D8:INDEX($D8:$AH8,1,Helper!$AA$2))-COLUMN(D8)+1),Helper!$AA$2)))</f>
        <v/>
      </c>
      <c r="AL8" s="37">
        <f>IF(Helper!$AA$2=0,"",SPARKLINE(ARRAYFORMULA(N(D8:INDEX($D8:$AH8,1,Helper!$AA$2))),{"charttype","column";"max",1;"color1","#6BBF77";"empty","ignore"}))</f>
        <v/>
      </c>
    </row>
    <row r="9">
      <c r="A9" s="19" t="n">
        <v>7</v>
      </c>
      <c r="B9" s="19">
        <f>IF(Habits!B8="","",Habits!B8)</f>
        <v/>
      </c>
      <c r="C9" s="19">
        <f>IF(Habits!C8="","",Habits!C8)</f>
        <v/>
      </c>
      <c r="D9" s="36" t="b">
        <v>0</v>
      </c>
      <c r="E9" s="36" t="b">
        <v>0</v>
      </c>
      <c r="F9" s="36" t="b">
        <v>0</v>
      </c>
      <c r="G9" s="36" t="b">
        <v>0</v>
      </c>
      <c r="H9" s="36" t="b">
        <v>0</v>
      </c>
      <c r="I9" s="36" t="b">
        <v>0</v>
      </c>
      <c r="J9" s="36" t="b">
        <v>0</v>
      </c>
      <c r="K9" s="36" t="b">
        <v>0</v>
      </c>
      <c r="L9" s="36" t="b">
        <v>0</v>
      </c>
      <c r="M9" s="36" t="b">
        <v>0</v>
      </c>
      <c r="N9" s="36" t="b">
        <v>0</v>
      </c>
      <c r="O9" s="36" t="b">
        <v>0</v>
      </c>
      <c r="P9" s="36" t="b">
        <v>0</v>
      </c>
      <c r="Q9" s="36" t="b">
        <v>0</v>
      </c>
      <c r="R9" s="36" t="b">
        <v>0</v>
      </c>
      <c r="S9" s="36" t="b">
        <v>0</v>
      </c>
      <c r="T9" s="36" t="b">
        <v>0</v>
      </c>
      <c r="U9" s="36" t="b">
        <v>0</v>
      </c>
      <c r="V9" s="36" t="b">
        <v>0</v>
      </c>
      <c r="W9" s="36" t="b">
        <v>0</v>
      </c>
      <c r="X9" s="36" t="b">
        <v>0</v>
      </c>
      <c r="Y9" s="36" t="b">
        <v>0</v>
      </c>
      <c r="Z9" s="36" t="b">
        <v>0</v>
      </c>
      <c r="AA9" s="36" t="b">
        <v>0</v>
      </c>
      <c r="AB9" s="36" t="b">
        <v>0</v>
      </c>
      <c r="AC9" s="36" t="b">
        <v>0</v>
      </c>
      <c r="AD9" s="36" t="b">
        <v>0</v>
      </c>
      <c r="AE9" s="36" t="b">
        <v>0</v>
      </c>
      <c r="AF9" s="36" t="b">
        <v>0</v>
      </c>
      <c r="AG9" s="36" t="b">
        <v>0</v>
      </c>
      <c r="AH9" s="36" t="b">
        <v>0</v>
      </c>
      <c r="AI9" s="23">
        <f>IFERROR(COUNTIF(D9:INDEX($D9:$AH9,1,Helper!$AA$2),TRUE)/Helper!$AA$2,0)</f>
        <v/>
      </c>
      <c r="AJ9" s="19">
        <f>IF(Helper!$AA$2=0,0,MAX(ARRAYFORMULA(FREQUENCY(IF(D9:INDEX($D9:$AH9,1,Helper!$AA$2)=TRUE,COLUMN(D9:INDEX($D9:$AH9,1,Helper!$AA$2))),IF(D9:INDEX($D9:$AH9,1,Helper!$AA$2)=FALSE,COLUMN(D9:INDEX($D9:$AH9,1,Helper!$AA$2)))))))</f>
        <v/>
      </c>
      <c r="AK9" s="19">
        <f>IF(Helper!$AA$2=0,0,IF(INDEX($D9:$AH9,1,Helper!$AA$2)=FALSE,0,IFERROR(Helper!$AA$2-LOOKUP(2,1/(D9:INDEX($D9:$AH9,1,Helper!$AA$2)=FALSE),COLUMN(D9:INDEX($D9:$AH9,1,Helper!$AA$2))-COLUMN(D9)+1),Helper!$AA$2)))</f>
        <v/>
      </c>
      <c r="AL9" s="36">
        <f>IF(Helper!$AA$2=0,"",SPARKLINE(ARRAYFORMULA(N(D9:INDEX($D9:$AH9,1,Helper!$AA$2))),{"charttype","column";"max",1;"color1","#6BBF77";"empty","ignore"}))</f>
        <v/>
      </c>
    </row>
    <row r="10">
      <c r="A10" s="2" t="n">
        <v>8</v>
      </c>
      <c r="B10" s="2">
        <f>IF(Habits!B9="","",Habits!B9)</f>
        <v/>
      </c>
      <c r="C10" s="2">
        <f>IF(Habits!C9="","",Habits!C9)</f>
        <v/>
      </c>
      <c r="D10" s="37" t="b">
        <v>0</v>
      </c>
      <c r="E10" s="37" t="b">
        <v>0</v>
      </c>
      <c r="F10" s="37" t="b">
        <v>0</v>
      </c>
      <c r="G10" s="37" t="b">
        <v>0</v>
      </c>
      <c r="H10" s="37" t="b">
        <v>0</v>
      </c>
      <c r="I10" s="37" t="b">
        <v>0</v>
      </c>
      <c r="J10" s="37" t="b">
        <v>0</v>
      </c>
      <c r="K10" s="37" t="b">
        <v>0</v>
      </c>
      <c r="L10" s="37" t="b">
        <v>0</v>
      </c>
      <c r="M10" s="37" t="b">
        <v>0</v>
      </c>
      <c r="N10" s="37" t="b">
        <v>0</v>
      </c>
      <c r="O10" s="37" t="b">
        <v>0</v>
      </c>
      <c r="P10" s="37" t="b">
        <v>0</v>
      </c>
      <c r="Q10" s="37" t="b">
        <v>0</v>
      </c>
      <c r="R10" s="37" t="b">
        <v>0</v>
      </c>
      <c r="S10" s="37" t="b">
        <v>0</v>
      </c>
      <c r="T10" s="37" t="b">
        <v>0</v>
      </c>
      <c r="U10" s="37" t="b">
        <v>0</v>
      </c>
      <c r="V10" s="37" t="b">
        <v>0</v>
      </c>
      <c r="W10" s="37" t="b">
        <v>0</v>
      </c>
      <c r="X10" s="37" t="b">
        <v>0</v>
      </c>
      <c r="Y10" s="37" t="b">
        <v>0</v>
      </c>
      <c r="Z10" s="37" t="b">
        <v>0</v>
      </c>
      <c r="AA10" s="37" t="b">
        <v>0</v>
      </c>
      <c r="AB10" s="37" t="b">
        <v>0</v>
      </c>
      <c r="AC10" s="37" t="b">
        <v>0</v>
      </c>
      <c r="AD10" s="37" t="b">
        <v>0</v>
      </c>
      <c r="AE10" s="37" t="b">
        <v>0</v>
      </c>
      <c r="AF10" s="37" t="b">
        <v>0</v>
      </c>
      <c r="AG10" s="37" t="b">
        <v>0</v>
      </c>
      <c r="AH10" s="37" t="b">
        <v>0</v>
      </c>
      <c r="AI10" s="38">
        <f>IFERROR(COUNTIF(D10:INDEX($D10:$AH10,1,Helper!$AA$2),TRUE)/Helper!$AA$2,0)</f>
        <v/>
      </c>
      <c r="AJ10" s="2">
        <f>IF(Helper!$AA$2=0,0,MAX(ARRAYFORMULA(FREQUENCY(IF(D10:INDEX($D10:$AH10,1,Helper!$AA$2)=TRUE,COLUMN(D10:INDEX($D10:$AH10,1,Helper!$AA$2))),IF(D10:INDEX($D10:$AH10,1,Helper!$AA$2)=FALSE,COLUMN(D10:INDEX($D10:$AH10,1,Helper!$AA$2)))))))</f>
        <v/>
      </c>
      <c r="AK10" s="2">
        <f>IF(Helper!$AA$2=0,0,IF(INDEX($D10:$AH10,1,Helper!$AA$2)=FALSE,0,IFERROR(Helper!$AA$2-LOOKUP(2,1/(D10:INDEX($D10:$AH10,1,Helper!$AA$2)=FALSE),COLUMN(D10:INDEX($D10:$AH10,1,Helper!$AA$2))-COLUMN(D10)+1),Helper!$AA$2)))</f>
        <v/>
      </c>
      <c r="AL10" s="37">
        <f>IF(Helper!$AA$2=0,"",SPARKLINE(ARRAYFORMULA(N(D10:INDEX($D10:$AH10,1,Helper!$AA$2))),{"charttype","column";"max",1;"color1","#6BBF77";"empty","ignore"}))</f>
        <v/>
      </c>
    </row>
    <row r="11">
      <c r="A11" s="19" t="n">
        <v>9</v>
      </c>
      <c r="B11" s="19">
        <f>IF(Habits!B10="","",Habits!B10)</f>
        <v/>
      </c>
      <c r="C11" s="19">
        <f>IF(Habits!C10="","",Habits!C10)</f>
        <v/>
      </c>
      <c r="D11" s="36" t="b">
        <v>0</v>
      </c>
      <c r="E11" s="36" t="b">
        <v>0</v>
      </c>
      <c r="F11" s="36" t="b">
        <v>0</v>
      </c>
      <c r="G11" s="36" t="b">
        <v>0</v>
      </c>
      <c r="H11" s="36" t="b">
        <v>0</v>
      </c>
      <c r="I11" s="36" t="b">
        <v>0</v>
      </c>
      <c r="J11" s="36" t="b">
        <v>0</v>
      </c>
      <c r="K11" s="36" t="b">
        <v>0</v>
      </c>
      <c r="L11" s="36" t="b">
        <v>0</v>
      </c>
      <c r="M11" s="36" t="b">
        <v>0</v>
      </c>
      <c r="N11" s="36" t="b">
        <v>0</v>
      </c>
      <c r="O11" s="36" t="b">
        <v>0</v>
      </c>
      <c r="P11" s="36" t="b">
        <v>0</v>
      </c>
      <c r="Q11" s="36" t="b">
        <v>0</v>
      </c>
      <c r="R11" s="36" t="b">
        <v>0</v>
      </c>
      <c r="S11" s="36" t="b">
        <v>0</v>
      </c>
      <c r="T11" s="36" t="b">
        <v>0</v>
      </c>
      <c r="U11" s="36" t="b">
        <v>0</v>
      </c>
      <c r="V11" s="36" t="b">
        <v>0</v>
      </c>
      <c r="W11" s="36" t="b">
        <v>0</v>
      </c>
      <c r="X11" s="36" t="b">
        <v>0</v>
      </c>
      <c r="Y11" s="36" t="b">
        <v>0</v>
      </c>
      <c r="Z11" s="36" t="b">
        <v>0</v>
      </c>
      <c r="AA11" s="36" t="b">
        <v>0</v>
      </c>
      <c r="AB11" s="36" t="b">
        <v>0</v>
      </c>
      <c r="AC11" s="36" t="b">
        <v>0</v>
      </c>
      <c r="AD11" s="36" t="b">
        <v>0</v>
      </c>
      <c r="AE11" s="36" t="b">
        <v>0</v>
      </c>
      <c r="AF11" s="36" t="b">
        <v>0</v>
      </c>
      <c r="AG11" s="36" t="b">
        <v>0</v>
      </c>
      <c r="AH11" s="36" t="b">
        <v>0</v>
      </c>
      <c r="AI11" s="23">
        <f>IFERROR(COUNTIF(D11:INDEX($D11:$AH11,1,Helper!$AA$2),TRUE)/Helper!$AA$2,0)</f>
        <v/>
      </c>
      <c r="AJ11" s="19">
        <f>IF(Helper!$AA$2=0,0,MAX(ARRAYFORMULA(FREQUENCY(IF(D11:INDEX($D11:$AH11,1,Helper!$AA$2)=TRUE,COLUMN(D11:INDEX($D11:$AH11,1,Helper!$AA$2))),IF(D11:INDEX($D11:$AH11,1,Helper!$AA$2)=FALSE,COLUMN(D11:INDEX($D11:$AH11,1,Helper!$AA$2)))))))</f>
        <v/>
      </c>
      <c r="AK11" s="19">
        <f>IF(Helper!$AA$2=0,0,IF(INDEX($D11:$AH11,1,Helper!$AA$2)=FALSE,0,IFERROR(Helper!$AA$2-LOOKUP(2,1/(D11:INDEX($D11:$AH11,1,Helper!$AA$2)=FALSE),COLUMN(D11:INDEX($D11:$AH11,1,Helper!$AA$2))-COLUMN(D11)+1),Helper!$AA$2)))</f>
        <v/>
      </c>
      <c r="AL11" s="36">
        <f>IF(Helper!$AA$2=0,"",SPARKLINE(ARRAYFORMULA(N(D11:INDEX($D11:$AH11,1,Helper!$AA$2))),{"charttype","column";"max",1;"color1","#6BBF77";"empty","ignore"}))</f>
        <v/>
      </c>
    </row>
    <row r="12">
      <c r="A12" s="2" t="n">
        <v>10</v>
      </c>
      <c r="B12" s="2">
        <f>IF(Habits!B11="","",Habits!B11)</f>
        <v/>
      </c>
      <c r="C12" s="2">
        <f>IF(Habits!C11="","",Habits!C11)</f>
        <v/>
      </c>
      <c r="D12" s="37" t="b">
        <v>0</v>
      </c>
      <c r="E12" s="37" t="b">
        <v>0</v>
      </c>
      <c r="F12" s="37" t="b">
        <v>0</v>
      </c>
      <c r="G12" s="37" t="b">
        <v>0</v>
      </c>
      <c r="H12" s="37" t="b">
        <v>0</v>
      </c>
      <c r="I12" s="37" t="b">
        <v>0</v>
      </c>
      <c r="J12" s="37" t="b">
        <v>0</v>
      </c>
      <c r="K12" s="37" t="b">
        <v>0</v>
      </c>
      <c r="L12" s="37" t="b">
        <v>0</v>
      </c>
      <c r="M12" s="37" t="b">
        <v>0</v>
      </c>
      <c r="N12" s="37" t="b">
        <v>0</v>
      </c>
      <c r="O12" s="37" t="b">
        <v>0</v>
      </c>
      <c r="P12" s="37" t="b">
        <v>0</v>
      </c>
      <c r="Q12" s="37" t="b">
        <v>0</v>
      </c>
      <c r="R12" s="37" t="b">
        <v>0</v>
      </c>
      <c r="S12" s="37" t="b">
        <v>0</v>
      </c>
      <c r="T12" s="37" t="b">
        <v>0</v>
      </c>
      <c r="U12" s="37" t="b">
        <v>0</v>
      </c>
      <c r="V12" s="37" t="b">
        <v>0</v>
      </c>
      <c r="W12" s="37" t="b">
        <v>0</v>
      </c>
      <c r="X12" s="37" t="b">
        <v>0</v>
      </c>
      <c r="Y12" s="37" t="b">
        <v>0</v>
      </c>
      <c r="Z12" s="37" t="b">
        <v>0</v>
      </c>
      <c r="AA12" s="37" t="b">
        <v>0</v>
      </c>
      <c r="AB12" s="37" t="b">
        <v>0</v>
      </c>
      <c r="AC12" s="37" t="b">
        <v>0</v>
      </c>
      <c r="AD12" s="37" t="b">
        <v>0</v>
      </c>
      <c r="AE12" s="37" t="b">
        <v>0</v>
      </c>
      <c r="AF12" s="37" t="b">
        <v>0</v>
      </c>
      <c r="AG12" s="37" t="b">
        <v>0</v>
      </c>
      <c r="AH12" s="37" t="b">
        <v>0</v>
      </c>
      <c r="AI12" s="38">
        <f>IFERROR(COUNTIF(D12:INDEX($D12:$AH12,1,Helper!$AA$2),TRUE)/Helper!$AA$2,0)</f>
        <v/>
      </c>
      <c r="AJ12" s="2">
        <f>IF(Helper!$AA$2=0,0,MAX(ARRAYFORMULA(FREQUENCY(IF(D12:INDEX($D12:$AH12,1,Helper!$AA$2)=TRUE,COLUMN(D12:INDEX($D12:$AH12,1,Helper!$AA$2))),IF(D12:INDEX($D12:$AH12,1,Helper!$AA$2)=FALSE,COLUMN(D12:INDEX($D12:$AH12,1,Helper!$AA$2)))))))</f>
        <v/>
      </c>
      <c r="AK12" s="2">
        <f>IF(Helper!$AA$2=0,0,IF(INDEX($D12:$AH12,1,Helper!$AA$2)=FALSE,0,IFERROR(Helper!$AA$2-LOOKUP(2,1/(D12:INDEX($D12:$AH12,1,Helper!$AA$2)=FALSE),COLUMN(D12:INDEX($D12:$AH12,1,Helper!$AA$2))-COLUMN(D12)+1),Helper!$AA$2)))</f>
        <v/>
      </c>
      <c r="AL12" s="37">
        <f>IF(Helper!$AA$2=0,"",SPARKLINE(ARRAYFORMULA(N(D12:INDEX($D12:$AH12,1,Helper!$AA$2))),{"charttype","column";"max",1;"color1","#6BBF77";"empty","ignore"}))</f>
        <v/>
      </c>
    </row>
    <row r="13">
      <c r="A13" s="19" t="n">
        <v>11</v>
      </c>
      <c r="B13" s="19">
        <f>IF(Habits!B12="","",Habits!B12)</f>
        <v/>
      </c>
      <c r="C13" s="19">
        <f>IF(Habits!C12="","",Habits!C12)</f>
        <v/>
      </c>
      <c r="D13" s="36" t="b">
        <v>0</v>
      </c>
      <c r="E13" s="36" t="b">
        <v>0</v>
      </c>
      <c r="F13" s="36" t="b">
        <v>0</v>
      </c>
      <c r="G13" s="36" t="b">
        <v>0</v>
      </c>
      <c r="H13" s="36" t="b">
        <v>0</v>
      </c>
      <c r="I13" s="36" t="b">
        <v>0</v>
      </c>
      <c r="J13" s="36" t="b">
        <v>0</v>
      </c>
      <c r="K13" s="36" t="b">
        <v>0</v>
      </c>
      <c r="L13" s="36" t="b">
        <v>0</v>
      </c>
      <c r="M13" s="36" t="b">
        <v>0</v>
      </c>
      <c r="N13" s="36" t="b">
        <v>0</v>
      </c>
      <c r="O13" s="36" t="b">
        <v>0</v>
      </c>
      <c r="P13" s="36" t="b">
        <v>0</v>
      </c>
      <c r="Q13" s="36" t="b">
        <v>0</v>
      </c>
      <c r="R13" s="36" t="b">
        <v>0</v>
      </c>
      <c r="S13" s="36" t="b">
        <v>0</v>
      </c>
      <c r="T13" s="36" t="b">
        <v>0</v>
      </c>
      <c r="U13" s="36" t="b">
        <v>0</v>
      </c>
      <c r="V13" s="36" t="b">
        <v>0</v>
      </c>
      <c r="W13" s="36" t="b">
        <v>0</v>
      </c>
      <c r="X13" s="36" t="b">
        <v>0</v>
      </c>
      <c r="Y13" s="36" t="b">
        <v>0</v>
      </c>
      <c r="Z13" s="36" t="b">
        <v>0</v>
      </c>
      <c r="AA13" s="36" t="b">
        <v>0</v>
      </c>
      <c r="AB13" s="36" t="b">
        <v>0</v>
      </c>
      <c r="AC13" s="36" t="b">
        <v>0</v>
      </c>
      <c r="AD13" s="36" t="b">
        <v>0</v>
      </c>
      <c r="AE13" s="36" t="b">
        <v>0</v>
      </c>
      <c r="AF13" s="36" t="b">
        <v>0</v>
      </c>
      <c r="AG13" s="36" t="b">
        <v>0</v>
      </c>
      <c r="AH13" s="36" t="b">
        <v>0</v>
      </c>
      <c r="AI13" s="23">
        <f>IFERROR(COUNTIF(D13:INDEX($D13:$AH13,1,Helper!$AA$2),TRUE)/Helper!$AA$2,0)</f>
        <v/>
      </c>
      <c r="AJ13" s="19">
        <f>IF(Helper!$AA$2=0,0,MAX(ARRAYFORMULA(FREQUENCY(IF(D13:INDEX($D13:$AH13,1,Helper!$AA$2)=TRUE,COLUMN(D13:INDEX($D13:$AH13,1,Helper!$AA$2))),IF(D13:INDEX($D13:$AH13,1,Helper!$AA$2)=FALSE,COLUMN(D13:INDEX($D13:$AH13,1,Helper!$AA$2)))))))</f>
        <v/>
      </c>
      <c r="AK13" s="19">
        <f>IF(Helper!$AA$2=0,0,IF(INDEX($D13:$AH13,1,Helper!$AA$2)=FALSE,0,IFERROR(Helper!$AA$2-LOOKUP(2,1/(D13:INDEX($D13:$AH13,1,Helper!$AA$2)=FALSE),COLUMN(D13:INDEX($D13:$AH13,1,Helper!$AA$2))-COLUMN(D13)+1),Helper!$AA$2)))</f>
        <v/>
      </c>
      <c r="AL13" s="36">
        <f>IF(Helper!$AA$2=0,"",SPARKLINE(ARRAYFORMULA(N(D13:INDEX($D13:$AH13,1,Helper!$AA$2))),{"charttype","column";"max",1;"color1","#6BBF77";"empty","ignore"}))</f>
        <v/>
      </c>
    </row>
    <row r="14">
      <c r="A14" s="2" t="n">
        <v>12</v>
      </c>
      <c r="B14" s="2">
        <f>IF(Habits!B13="","",Habits!B13)</f>
        <v/>
      </c>
      <c r="C14" s="2">
        <f>IF(Habits!C13="","",Habits!C13)</f>
        <v/>
      </c>
      <c r="D14" s="37" t="b">
        <v>0</v>
      </c>
      <c r="E14" s="37" t="b">
        <v>0</v>
      </c>
      <c r="F14" s="37" t="b">
        <v>0</v>
      </c>
      <c r="G14" s="37" t="b">
        <v>0</v>
      </c>
      <c r="H14" s="37" t="b">
        <v>0</v>
      </c>
      <c r="I14" s="37" t="b">
        <v>0</v>
      </c>
      <c r="J14" s="37" t="b">
        <v>0</v>
      </c>
      <c r="K14" s="37" t="b">
        <v>0</v>
      </c>
      <c r="L14" s="37" t="b">
        <v>0</v>
      </c>
      <c r="M14" s="37" t="b">
        <v>0</v>
      </c>
      <c r="N14" s="37" t="b">
        <v>0</v>
      </c>
      <c r="O14" s="37" t="b">
        <v>0</v>
      </c>
      <c r="P14" s="37" t="b">
        <v>0</v>
      </c>
      <c r="Q14" s="37" t="b">
        <v>0</v>
      </c>
      <c r="R14" s="37" t="b">
        <v>0</v>
      </c>
      <c r="S14" s="37" t="b">
        <v>0</v>
      </c>
      <c r="T14" s="37" t="b">
        <v>0</v>
      </c>
      <c r="U14" s="37" t="b">
        <v>0</v>
      </c>
      <c r="V14" s="37" t="b">
        <v>0</v>
      </c>
      <c r="W14" s="37" t="b">
        <v>0</v>
      </c>
      <c r="X14" s="37" t="b">
        <v>0</v>
      </c>
      <c r="Y14" s="37" t="b">
        <v>0</v>
      </c>
      <c r="Z14" s="37" t="b">
        <v>0</v>
      </c>
      <c r="AA14" s="37" t="b">
        <v>0</v>
      </c>
      <c r="AB14" s="37" t="b">
        <v>0</v>
      </c>
      <c r="AC14" s="37" t="b">
        <v>0</v>
      </c>
      <c r="AD14" s="37" t="b">
        <v>0</v>
      </c>
      <c r="AE14" s="37" t="b">
        <v>0</v>
      </c>
      <c r="AF14" s="37" t="b">
        <v>0</v>
      </c>
      <c r="AG14" s="37" t="b">
        <v>0</v>
      </c>
      <c r="AH14" s="37" t="b">
        <v>0</v>
      </c>
      <c r="AI14" s="38">
        <f>IFERROR(COUNTIF(D14:INDEX($D14:$AH14,1,Helper!$AA$2),TRUE)/Helper!$AA$2,0)</f>
        <v/>
      </c>
      <c r="AJ14" s="2">
        <f>IF(Helper!$AA$2=0,0,MAX(ARRAYFORMULA(FREQUENCY(IF(D14:INDEX($D14:$AH14,1,Helper!$AA$2)=TRUE,COLUMN(D14:INDEX($D14:$AH14,1,Helper!$AA$2))),IF(D14:INDEX($D14:$AH14,1,Helper!$AA$2)=FALSE,COLUMN(D14:INDEX($D14:$AH14,1,Helper!$AA$2)))))))</f>
        <v/>
      </c>
      <c r="AK14" s="2">
        <f>IF(Helper!$AA$2=0,0,IF(INDEX($D14:$AH14,1,Helper!$AA$2)=FALSE,0,IFERROR(Helper!$AA$2-LOOKUP(2,1/(D14:INDEX($D14:$AH14,1,Helper!$AA$2)=FALSE),COLUMN(D14:INDEX($D14:$AH14,1,Helper!$AA$2))-COLUMN(D14)+1),Helper!$AA$2)))</f>
        <v/>
      </c>
      <c r="AL14" s="37">
        <f>IF(Helper!$AA$2=0,"",SPARKLINE(ARRAYFORMULA(N(D14:INDEX($D14:$AH14,1,Helper!$AA$2))),{"charttype","column";"max",1;"color1","#6BBF77";"empty","ignore"}))</f>
        <v/>
      </c>
    </row>
    <row r="15">
      <c r="A15" s="19" t="n">
        <v>13</v>
      </c>
      <c r="B15" s="19">
        <f>IF(Habits!B14="","",Habits!B14)</f>
        <v/>
      </c>
      <c r="C15" s="19">
        <f>IF(Habits!C14="","",Habits!C14)</f>
        <v/>
      </c>
      <c r="D15" s="36" t="b">
        <v>0</v>
      </c>
      <c r="E15" s="36" t="b">
        <v>0</v>
      </c>
      <c r="F15" s="36" t="b">
        <v>0</v>
      </c>
      <c r="G15" s="36" t="b">
        <v>0</v>
      </c>
      <c r="H15" s="36" t="b">
        <v>0</v>
      </c>
      <c r="I15" s="36" t="b">
        <v>0</v>
      </c>
      <c r="J15" s="36" t="b">
        <v>0</v>
      </c>
      <c r="K15" s="36" t="b">
        <v>0</v>
      </c>
      <c r="L15" s="36" t="b">
        <v>0</v>
      </c>
      <c r="M15" s="36" t="b">
        <v>0</v>
      </c>
      <c r="N15" s="36" t="b">
        <v>0</v>
      </c>
      <c r="O15" s="36" t="b">
        <v>0</v>
      </c>
      <c r="P15" s="36" t="b">
        <v>0</v>
      </c>
      <c r="Q15" s="36" t="b">
        <v>0</v>
      </c>
      <c r="R15" s="36" t="b">
        <v>0</v>
      </c>
      <c r="S15" s="36" t="b">
        <v>0</v>
      </c>
      <c r="T15" s="36" t="b">
        <v>0</v>
      </c>
      <c r="U15" s="36" t="b">
        <v>0</v>
      </c>
      <c r="V15" s="36" t="b">
        <v>0</v>
      </c>
      <c r="W15" s="36" t="b">
        <v>0</v>
      </c>
      <c r="X15" s="36" t="b">
        <v>0</v>
      </c>
      <c r="Y15" s="36" t="b">
        <v>0</v>
      </c>
      <c r="Z15" s="36" t="b">
        <v>0</v>
      </c>
      <c r="AA15" s="36" t="b">
        <v>0</v>
      </c>
      <c r="AB15" s="36" t="b">
        <v>0</v>
      </c>
      <c r="AC15" s="36" t="b">
        <v>0</v>
      </c>
      <c r="AD15" s="36" t="b">
        <v>0</v>
      </c>
      <c r="AE15" s="36" t="b">
        <v>0</v>
      </c>
      <c r="AF15" s="36" t="b">
        <v>0</v>
      </c>
      <c r="AG15" s="36" t="b">
        <v>0</v>
      </c>
      <c r="AH15" s="36" t="b">
        <v>0</v>
      </c>
      <c r="AI15" s="23">
        <f>IFERROR(COUNTIF(D15:INDEX($D15:$AH15,1,Helper!$AA$2),TRUE)/Helper!$AA$2,0)</f>
        <v/>
      </c>
      <c r="AJ15" s="19">
        <f>IF(Helper!$AA$2=0,0,MAX(ARRAYFORMULA(FREQUENCY(IF(D15:INDEX($D15:$AH15,1,Helper!$AA$2)=TRUE,COLUMN(D15:INDEX($D15:$AH15,1,Helper!$AA$2))),IF(D15:INDEX($D15:$AH15,1,Helper!$AA$2)=FALSE,COLUMN(D15:INDEX($D15:$AH15,1,Helper!$AA$2)))))))</f>
        <v/>
      </c>
      <c r="AK15" s="19">
        <f>IF(Helper!$AA$2=0,0,IF(INDEX($D15:$AH15,1,Helper!$AA$2)=FALSE,0,IFERROR(Helper!$AA$2-LOOKUP(2,1/(D15:INDEX($D15:$AH15,1,Helper!$AA$2)=FALSE),COLUMN(D15:INDEX($D15:$AH15,1,Helper!$AA$2))-COLUMN(D15)+1),Helper!$AA$2)))</f>
        <v/>
      </c>
      <c r="AL15" s="36">
        <f>IF(Helper!$AA$2=0,"",SPARKLINE(ARRAYFORMULA(N(D15:INDEX($D15:$AH15,1,Helper!$AA$2))),{"charttype","column";"max",1;"color1","#6BBF77";"empty","ignore"}))</f>
        <v/>
      </c>
    </row>
    <row r="16">
      <c r="A16" s="2" t="n">
        <v>14</v>
      </c>
      <c r="B16" s="2">
        <f>IF(Habits!B15="","",Habits!B15)</f>
        <v/>
      </c>
      <c r="C16" s="2">
        <f>IF(Habits!C15="","",Habits!C15)</f>
        <v/>
      </c>
      <c r="D16" s="37" t="b">
        <v>0</v>
      </c>
      <c r="E16" s="37" t="b">
        <v>0</v>
      </c>
      <c r="F16" s="37" t="b">
        <v>0</v>
      </c>
      <c r="G16" s="37" t="b">
        <v>0</v>
      </c>
      <c r="H16" s="37" t="b">
        <v>0</v>
      </c>
      <c r="I16" s="37" t="b">
        <v>0</v>
      </c>
      <c r="J16" s="37" t="b">
        <v>0</v>
      </c>
      <c r="K16" s="37" t="b">
        <v>0</v>
      </c>
      <c r="L16" s="37" t="b">
        <v>0</v>
      </c>
      <c r="M16" s="37" t="b">
        <v>0</v>
      </c>
      <c r="N16" s="37" t="b">
        <v>0</v>
      </c>
      <c r="O16" s="37" t="b">
        <v>0</v>
      </c>
      <c r="P16" s="37" t="b">
        <v>0</v>
      </c>
      <c r="Q16" s="37" t="b">
        <v>0</v>
      </c>
      <c r="R16" s="37" t="b">
        <v>0</v>
      </c>
      <c r="S16" s="37" t="b">
        <v>0</v>
      </c>
      <c r="T16" s="37" t="b">
        <v>0</v>
      </c>
      <c r="U16" s="37" t="b">
        <v>0</v>
      </c>
      <c r="V16" s="37" t="b">
        <v>0</v>
      </c>
      <c r="W16" s="37" t="b">
        <v>0</v>
      </c>
      <c r="X16" s="37" t="b">
        <v>0</v>
      </c>
      <c r="Y16" s="37" t="b">
        <v>0</v>
      </c>
      <c r="Z16" s="37" t="b">
        <v>0</v>
      </c>
      <c r="AA16" s="37" t="b">
        <v>0</v>
      </c>
      <c r="AB16" s="37" t="b">
        <v>0</v>
      </c>
      <c r="AC16" s="37" t="b">
        <v>0</v>
      </c>
      <c r="AD16" s="37" t="b">
        <v>0</v>
      </c>
      <c r="AE16" s="37" t="b">
        <v>0</v>
      </c>
      <c r="AF16" s="37" t="b">
        <v>0</v>
      </c>
      <c r="AG16" s="37" t="b">
        <v>0</v>
      </c>
      <c r="AH16" s="37" t="b">
        <v>0</v>
      </c>
      <c r="AI16" s="38">
        <f>IFERROR(COUNTIF(D16:INDEX($D16:$AH16,1,Helper!$AA$2),TRUE)/Helper!$AA$2,0)</f>
        <v/>
      </c>
      <c r="AJ16" s="2">
        <f>IF(Helper!$AA$2=0,0,MAX(ARRAYFORMULA(FREQUENCY(IF(D16:INDEX($D16:$AH16,1,Helper!$AA$2)=TRUE,COLUMN(D16:INDEX($D16:$AH16,1,Helper!$AA$2))),IF(D16:INDEX($D16:$AH16,1,Helper!$AA$2)=FALSE,COLUMN(D16:INDEX($D16:$AH16,1,Helper!$AA$2)))))))</f>
        <v/>
      </c>
      <c r="AK16" s="2">
        <f>IF(Helper!$AA$2=0,0,IF(INDEX($D16:$AH16,1,Helper!$AA$2)=FALSE,0,IFERROR(Helper!$AA$2-LOOKUP(2,1/(D16:INDEX($D16:$AH16,1,Helper!$AA$2)=FALSE),COLUMN(D16:INDEX($D16:$AH16,1,Helper!$AA$2))-COLUMN(D16)+1),Helper!$AA$2)))</f>
        <v/>
      </c>
      <c r="AL16" s="37">
        <f>IF(Helper!$AA$2=0,"",SPARKLINE(ARRAYFORMULA(N(D16:INDEX($D16:$AH16,1,Helper!$AA$2))),{"charttype","column";"max",1;"color1","#6BBF77";"empty","ignore"}))</f>
        <v/>
      </c>
    </row>
    <row r="17">
      <c r="A17" s="19" t="n">
        <v>15</v>
      </c>
      <c r="B17" s="19">
        <f>IF(Habits!B16="","",Habits!B16)</f>
        <v/>
      </c>
      <c r="C17" s="19">
        <f>IF(Habits!C16="","",Habits!C16)</f>
        <v/>
      </c>
      <c r="D17" s="36" t="b">
        <v>0</v>
      </c>
      <c r="E17" s="36" t="b">
        <v>0</v>
      </c>
      <c r="F17" s="36" t="b">
        <v>0</v>
      </c>
      <c r="G17" s="36" t="b">
        <v>0</v>
      </c>
      <c r="H17" s="36" t="b">
        <v>0</v>
      </c>
      <c r="I17" s="36" t="b">
        <v>0</v>
      </c>
      <c r="J17" s="36" t="b">
        <v>0</v>
      </c>
      <c r="K17" s="36" t="b">
        <v>0</v>
      </c>
      <c r="L17" s="36" t="b">
        <v>0</v>
      </c>
      <c r="M17" s="36" t="b">
        <v>0</v>
      </c>
      <c r="N17" s="36" t="b">
        <v>0</v>
      </c>
      <c r="O17" s="36" t="b">
        <v>0</v>
      </c>
      <c r="P17" s="36" t="b">
        <v>0</v>
      </c>
      <c r="Q17" s="36" t="b">
        <v>0</v>
      </c>
      <c r="R17" s="36" t="b">
        <v>0</v>
      </c>
      <c r="S17" s="36" t="b">
        <v>0</v>
      </c>
      <c r="T17" s="36" t="b">
        <v>0</v>
      </c>
      <c r="U17" s="36" t="b">
        <v>0</v>
      </c>
      <c r="V17" s="36" t="b">
        <v>0</v>
      </c>
      <c r="W17" s="36" t="b">
        <v>0</v>
      </c>
      <c r="X17" s="36" t="b">
        <v>0</v>
      </c>
      <c r="Y17" s="36" t="b">
        <v>0</v>
      </c>
      <c r="Z17" s="36" t="b">
        <v>0</v>
      </c>
      <c r="AA17" s="36" t="b">
        <v>0</v>
      </c>
      <c r="AB17" s="36" t="b">
        <v>0</v>
      </c>
      <c r="AC17" s="36" t="b">
        <v>0</v>
      </c>
      <c r="AD17" s="36" t="b">
        <v>0</v>
      </c>
      <c r="AE17" s="36" t="b">
        <v>0</v>
      </c>
      <c r="AF17" s="36" t="b">
        <v>0</v>
      </c>
      <c r="AG17" s="36" t="b">
        <v>0</v>
      </c>
      <c r="AH17" s="36" t="b">
        <v>0</v>
      </c>
      <c r="AI17" s="23">
        <f>IFERROR(COUNTIF(D17:INDEX($D17:$AH17,1,Helper!$AA$2),TRUE)/Helper!$AA$2,0)</f>
        <v/>
      </c>
      <c r="AJ17" s="19">
        <f>IF(Helper!$AA$2=0,0,MAX(ARRAYFORMULA(FREQUENCY(IF(D17:INDEX($D17:$AH17,1,Helper!$AA$2)=TRUE,COLUMN(D17:INDEX($D17:$AH17,1,Helper!$AA$2))),IF(D17:INDEX($D17:$AH17,1,Helper!$AA$2)=FALSE,COLUMN(D17:INDEX($D17:$AH17,1,Helper!$AA$2)))))))</f>
        <v/>
      </c>
      <c r="AK17" s="19">
        <f>IF(Helper!$AA$2=0,0,IF(INDEX($D17:$AH17,1,Helper!$AA$2)=FALSE,0,IFERROR(Helper!$AA$2-LOOKUP(2,1/(D17:INDEX($D17:$AH17,1,Helper!$AA$2)=FALSE),COLUMN(D17:INDEX($D17:$AH17,1,Helper!$AA$2))-COLUMN(D17)+1),Helper!$AA$2)))</f>
        <v/>
      </c>
      <c r="AL17" s="36">
        <f>IF(Helper!$AA$2=0,"",SPARKLINE(ARRAYFORMULA(N(D17:INDEX($D17:$AH17,1,Helper!$AA$2))),{"charttype","column";"max",1;"color1","#6BBF77";"empty","ignore"}))</f>
        <v/>
      </c>
    </row>
    <row r="18">
      <c r="A18" s="2" t="n">
        <v>16</v>
      </c>
      <c r="B18" s="2">
        <f>IF(Habits!B17="","",Habits!B17)</f>
        <v/>
      </c>
      <c r="C18" s="2">
        <f>IF(Habits!C17="","",Habits!C17)</f>
        <v/>
      </c>
      <c r="D18" s="37" t="b">
        <v>0</v>
      </c>
      <c r="E18" s="37" t="b">
        <v>0</v>
      </c>
      <c r="F18" s="37" t="b">
        <v>0</v>
      </c>
      <c r="G18" s="37" t="b">
        <v>0</v>
      </c>
      <c r="H18" s="37" t="b">
        <v>0</v>
      </c>
      <c r="I18" s="37" t="b">
        <v>0</v>
      </c>
      <c r="J18" s="37" t="b">
        <v>0</v>
      </c>
      <c r="K18" s="37" t="b">
        <v>0</v>
      </c>
      <c r="L18" s="37" t="b">
        <v>0</v>
      </c>
      <c r="M18" s="37" t="b">
        <v>0</v>
      </c>
      <c r="N18" s="37" t="b">
        <v>0</v>
      </c>
      <c r="O18" s="37" t="b">
        <v>0</v>
      </c>
      <c r="P18" s="37" t="b">
        <v>0</v>
      </c>
      <c r="Q18" s="37" t="b">
        <v>0</v>
      </c>
      <c r="R18" s="37" t="b">
        <v>0</v>
      </c>
      <c r="S18" s="37" t="b">
        <v>0</v>
      </c>
      <c r="T18" s="37" t="b">
        <v>0</v>
      </c>
      <c r="U18" s="37" t="b">
        <v>0</v>
      </c>
      <c r="V18" s="37" t="b">
        <v>0</v>
      </c>
      <c r="W18" s="37" t="b">
        <v>0</v>
      </c>
      <c r="X18" s="37" t="b">
        <v>0</v>
      </c>
      <c r="Y18" s="37" t="b">
        <v>0</v>
      </c>
      <c r="Z18" s="37" t="b">
        <v>0</v>
      </c>
      <c r="AA18" s="37" t="b">
        <v>0</v>
      </c>
      <c r="AB18" s="37" t="b">
        <v>0</v>
      </c>
      <c r="AC18" s="37" t="b">
        <v>0</v>
      </c>
      <c r="AD18" s="37" t="b">
        <v>0</v>
      </c>
      <c r="AE18" s="37" t="b">
        <v>0</v>
      </c>
      <c r="AF18" s="37" t="b">
        <v>0</v>
      </c>
      <c r="AG18" s="37" t="b">
        <v>0</v>
      </c>
      <c r="AH18" s="37" t="b">
        <v>0</v>
      </c>
      <c r="AI18" s="38">
        <f>IFERROR(COUNTIF(D18:INDEX($D18:$AH18,1,Helper!$AA$2),TRUE)/Helper!$AA$2,0)</f>
        <v/>
      </c>
      <c r="AJ18" s="2">
        <f>IF(Helper!$AA$2=0,0,MAX(ARRAYFORMULA(FREQUENCY(IF(D18:INDEX($D18:$AH18,1,Helper!$AA$2)=TRUE,COLUMN(D18:INDEX($D18:$AH18,1,Helper!$AA$2))),IF(D18:INDEX($D18:$AH18,1,Helper!$AA$2)=FALSE,COLUMN(D18:INDEX($D18:$AH18,1,Helper!$AA$2)))))))</f>
        <v/>
      </c>
      <c r="AK18" s="2">
        <f>IF(Helper!$AA$2=0,0,IF(INDEX($D18:$AH18,1,Helper!$AA$2)=FALSE,0,IFERROR(Helper!$AA$2-LOOKUP(2,1/(D18:INDEX($D18:$AH18,1,Helper!$AA$2)=FALSE),COLUMN(D18:INDEX($D18:$AH18,1,Helper!$AA$2))-COLUMN(D18)+1),Helper!$AA$2)))</f>
        <v/>
      </c>
      <c r="AL18" s="37">
        <f>IF(Helper!$AA$2=0,"",SPARKLINE(ARRAYFORMULA(N(D18:INDEX($D18:$AH18,1,Helper!$AA$2))),{"charttype","column";"max",1;"color1","#6BBF77";"empty","ignore"}))</f>
        <v/>
      </c>
    </row>
    <row r="19">
      <c r="A19" s="19" t="n">
        <v>17</v>
      </c>
      <c r="B19" s="19">
        <f>IF(Habits!B18="","",Habits!B18)</f>
        <v/>
      </c>
      <c r="C19" s="19">
        <f>IF(Habits!C18="","",Habits!C18)</f>
        <v/>
      </c>
      <c r="D19" s="36" t="b">
        <v>0</v>
      </c>
      <c r="E19" s="36" t="b">
        <v>0</v>
      </c>
      <c r="F19" s="36" t="b">
        <v>0</v>
      </c>
      <c r="G19" s="36" t="b">
        <v>0</v>
      </c>
      <c r="H19" s="36" t="b">
        <v>0</v>
      </c>
      <c r="I19" s="36" t="b">
        <v>0</v>
      </c>
      <c r="J19" s="36" t="b">
        <v>0</v>
      </c>
      <c r="K19" s="36" t="b">
        <v>0</v>
      </c>
      <c r="L19" s="36" t="b">
        <v>0</v>
      </c>
      <c r="M19" s="36" t="b">
        <v>0</v>
      </c>
      <c r="N19" s="36" t="b">
        <v>0</v>
      </c>
      <c r="O19" s="36" t="b">
        <v>0</v>
      </c>
      <c r="P19" s="36" t="b">
        <v>0</v>
      </c>
      <c r="Q19" s="36" t="b">
        <v>0</v>
      </c>
      <c r="R19" s="36" t="b">
        <v>0</v>
      </c>
      <c r="S19" s="36" t="b">
        <v>0</v>
      </c>
      <c r="T19" s="36" t="b">
        <v>0</v>
      </c>
      <c r="U19" s="36" t="b">
        <v>0</v>
      </c>
      <c r="V19" s="36" t="b">
        <v>0</v>
      </c>
      <c r="W19" s="36" t="b">
        <v>0</v>
      </c>
      <c r="X19" s="36" t="b">
        <v>0</v>
      </c>
      <c r="Y19" s="36" t="b">
        <v>0</v>
      </c>
      <c r="Z19" s="36" t="b">
        <v>0</v>
      </c>
      <c r="AA19" s="36" t="b">
        <v>0</v>
      </c>
      <c r="AB19" s="36" t="b">
        <v>0</v>
      </c>
      <c r="AC19" s="36" t="b">
        <v>0</v>
      </c>
      <c r="AD19" s="36" t="b">
        <v>0</v>
      </c>
      <c r="AE19" s="36" t="b">
        <v>0</v>
      </c>
      <c r="AF19" s="36" t="b">
        <v>0</v>
      </c>
      <c r="AG19" s="36" t="b">
        <v>0</v>
      </c>
      <c r="AH19" s="36" t="b">
        <v>0</v>
      </c>
      <c r="AI19" s="23">
        <f>IFERROR(COUNTIF(D19:INDEX($D19:$AH19,1,Helper!$AA$2),TRUE)/Helper!$AA$2,0)</f>
        <v/>
      </c>
      <c r="AJ19" s="19">
        <f>IF(Helper!$AA$2=0,0,MAX(ARRAYFORMULA(FREQUENCY(IF(D19:INDEX($D19:$AH19,1,Helper!$AA$2)=TRUE,COLUMN(D19:INDEX($D19:$AH19,1,Helper!$AA$2))),IF(D19:INDEX($D19:$AH19,1,Helper!$AA$2)=FALSE,COLUMN(D19:INDEX($D19:$AH19,1,Helper!$AA$2)))))))</f>
        <v/>
      </c>
      <c r="AK19" s="19">
        <f>IF(Helper!$AA$2=0,0,IF(INDEX($D19:$AH19,1,Helper!$AA$2)=FALSE,0,IFERROR(Helper!$AA$2-LOOKUP(2,1/(D19:INDEX($D19:$AH19,1,Helper!$AA$2)=FALSE),COLUMN(D19:INDEX($D19:$AH19,1,Helper!$AA$2))-COLUMN(D19)+1),Helper!$AA$2)))</f>
        <v/>
      </c>
      <c r="AL19" s="36">
        <f>IF(Helper!$AA$2=0,"",SPARKLINE(ARRAYFORMULA(N(D19:INDEX($D19:$AH19,1,Helper!$AA$2))),{"charttype","column";"max",1;"color1","#6BBF77";"empty","ignore"}))</f>
        <v/>
      </c>
    </row>
    <row r="20">
      <c r="A20" s="2" t="n">
        <v>18</v>
      </c>
      <c r="B20" s="2">
        <f>IF(Habits!B19="","",Habits!B19)</f>
        <v/>
      </c>
      <c r="C20" s="2">
        <f>IF(Habits!C19="","",Habits!C19)</f>
        <v/>
      </c>
      <c r="D20" s="37" t="b">
        <v>0</v>
      </c>
      <c r="E20" s="37" t="b">
        <v>0</v>
      </c>
      <c r="F20" s="37" t="b">
        <v>0</v>
      </c>
      <c r="G20" s="37" t="b">
        <v>0</v>
      </c>
      <c r="H20" s="37" t="b">
        <v>0</v>
      </c>
      <c r="I20" s="37" t="b">
        <v>0</v>
      </c>
      <c r="J20" s="37" t="b">
        <v>0</v>
      </c>
      <c r="K20" s="37" t="b">
        <v>0</v>
      </c>
      <c r="L20" s="37" t="b">
        <v>0</v>
      </c>
      <c r="M20" s="37" t="b">
        <v>0</v>
      </c>
      <c r="N20" s="37" t="b">
        <v>0</v>
      </c>
      <c r="O20" s="37" t="b">
        <v>0</v>
      </c>
      <c r="P20" s="37" t="b">
        <v>0</v>
      </c>
      <c r="Q20" s="37" t="b">
        <v>0</v>
      </c>
      <c r="R20" s="37" t="b">
        <v>0</v>
      </c>
      <c r="S20" s="37" t="b">
        <v>0</v>
      </c>
      <c r="T20" s="37" t="b">
        <v>0</v>
      </c>
      <c r="U20" s="37" t="b">
        <v>0</v>
      </c>
      <c r="V20" s="37" t="b">
        <v>0</v>
      </c>
      <c r="W20" s="37" t="b">
        <v>0</v>
      </c>
      <c r="X20" s="37" t="b">
        <v>0</v>
      </c>
      <c r="Y20" s="37" t="b">
        <v>0</v>
      </c>
      <c r="Z20" s="37" t="b">
        <v>0</v>
      </c>
      <c r="AA20" s="37" t="b">
        <v>0</v>
      </c>
      <c r="AB20" s="37" t="b">
        <v>0</v>
      </c>
      <c r="AC20" s="37" t="b">
        <v>0</v>
      </c>
      <c r="AD20" s="37" t="b">
        <v>0</v>
      </c>
      <c r="AE20" s="37" t="b">
        <v>0</v>
      </c>
      <c r="AF20" s="37" t="b">
        <v>0</v>
      </c>
      <c r="AG20" s="37" t="b">
        <v>0</v>
      </c>
      <c r="AH20" s="37" t="b">
        <v>0</v>
      </c>
      <c r="AI20" s="38">
        <f>IFERROR(COUNTIF(D20:INDEX($D20:$AH20,1,Helper!$AA$2),TRUE)/Helper!$AA$2,0)</f>
        <v/>
      </c>
      <c r="AJ20" s="2">
        <f>IF(Helper!$AA$2=0,0,MAX(ARRAYFORMULA(FREQUENCY(IF(D20:INDEX($D20:$AH20,1,Helper!$AA$2)=TRUE,COLUMN(D20:INDEX($D20:$AH20,1,Helper!$AA$2))),IF(D20:INDEX($D20:$AH20,1,Helper!$AA$2)=FALSE,COLUMN(D20:INDEX($D20:$AH20,1,Helper!$AA$2)))))))</f>
        <v/>
      </c>
      <c r="AK20" s="2">
        <f>IF(Helper!$AA$2=0,0,IF(INDEX($D20:$AH20,1,Helper!$AA$2)=FALSE,0,IFERROR(Helper!$AA$2-LOOKUP(2,1/(D20:INDEX($D20:$AH20,1,Helper!$AA$2)=FALSE),COLUMN(D20:INDEX($D20:$AH20,1,Helper!$AA$2))-COLUMN(D20)+1),Helper!$AA$2)))</f>
        <v/>
      </c>
      <c r="AL20" s="37">
        <f>IF(Helper!$AA$2=0,"",SPARKLINE(ARRAYFORMULA(N(D20:INDEX($D20:$AH20,1,Helper!$AA$2))),{"charttype","column";"max",1;"color1","#6BBF77";"empty","ignore"}))</f>
        <v/>
      </c>
    </row>
    <row r="21">
      <c r="A21" s="19" t="n">
        <v>19</v>
      </c>
      <c r="B21" s="19">
        <f>IF(Habits!B20="","",Habits!B20)</f>
        <v/>
      </c>
      <c r="C21" s="19">
        <f>IF(Habits!C20="","",Habits!C20)</f>
        <v/>
      </c>
      <c r="D21" s="36" t="b">
        <v>0</v>
      </c>
      <c r="E21" s="36" t="b">
        <v>0</v>
      </c>
      <c r="F21" s="36" t="b">
        <v>0</v>
      </c>
      <c r="G21" s="36" t="b">
        <v>0</v>
      </c>
      <c r="H21" s="36" t="b">
        <v>0</v>
      </c>
      <c r="I21" s="36" t="b">
        <v>0</v>
      </c>
      <c r="J21" s="36" t="b">
        <v>0</v>
      </c>
      <c r="K21" s="36" t="b">
        <v>0</v>
      </c>
      <c r="L21" s="36" t="b">
        <v>0</v>
      </c>
      <c r="M21" s="36" t="b">
        <v>0</v>
      </c>
      <c r="N21" s="36" t="b">
        <v>0</v>
      </c>
      <c r="O21" s="36" t="b">
        <v>0</v>
      </c>
      <c r="P21" s="36" t="b">
        <v>0</v>
      </c>
      <c r="Q21" s="36" t="b">
        <v>0</v>
      </c>
      <c r="R21" s="36" t="b">
        <v>0</v>
      </c>
      <c r="S21" s="36" t="b">
        <v>0</v>
      </c>
      <c r="T21" s="36" t="b">
        <v>0</v>
      </c>
      <c r="U21" s="36" t="b">
        <v>0</v>
      </c>
      <c r="V21" s="36" t="b">
        <v>0</v>
      </c>
      <c r="W21" s="36" t="b">
        <v>0</v>
      </c>
      <c r="X21" s="36" t="b">
        <v>0</v>
      </c>
      <c r="Y21" s="36" t="b">
        <v>0</v>
      </c>
      <c r="Z21" s="36" t="b">
        <v>0</v>
      </c>
      <c r="AA21" s="36" t="b">
        <v>0</v>
      </c>
      <c r="AB21" s="36" t="b">
        <v>0</v>
      </c>
      <c r="AC21" s="36" t="b">
        <v>0</v>
      </c>
      <c r="AD21" s="36" t="b">
        <v>0</v>
      </c>
      <c r="AE21" s="36" t="b">
        <v>0</v>
      </c>
      <c r="AF21" s="36" t="b">
        <v>0</v>
      </c>
      <c r="AG21" s="36" t="b">
        <v>0</v>
      </c>
      <c r="AH21" s="36" t="b">
        <v>0</v>
      </c>
      <c r="AI21" s="23">
        <f>IFERROR(COUNTIF(D21:INDEX($D21:$AH21,1,Helper!$AA$2),TRUE)/Helper!$AA$2,0)</f>
        <v/>
      </c>
      <c r="AJ21" s="19">
        <f>IF(Helper!$AA$2=0,0,MAX(ARRAYFORMULA(FREQUENCY(IF(D21:INDEX($D21:$AH21,1,Helper!$AA$2)=TRUE,COLUMN(D21:INDEX($D21:$AH21,1,Helper!$AA$2))),IF(D21:INDEX($D21:$AH21,1,Helper!$AA$2)=FALSE,COLUMN(D21:INDEX($D21:$AH21,1,Helper!$AA$2)))))))</f>
        <v/>
      </c>
      <c r="AK21" s="19">
        <f>IF(Helper!$AA$2=0,0,IF(INDEX($D21:$AH21,1,Helper!$AA$2)=FALSE,0,IFERROR(Helper!$AA$2-LOOKUP(2,1/(D21:INDEX($D21:$AH21,1,Helper!$AA$2)=FALSE),COLUMN(D21:INDEX($D21:$AH21,1,Helper!$AA$2))-COLUMN(D21)+1),Helper!$AA$2)))</f>
        <v/>
      </c>
      <c r="AL21" s="36">
        <f>IF(Helper!$AA$2=0,"",SPARKLINE(ARRAYFORMULA(N(D21:INDEX($D21:$AH21,1,Helper!$AA$2))),{"charttype","column";"max",1;"color1","#6BBF77";"empty","ignore"}))</f>
        <v/>
      </c>
    </row>
    <row r="22">
      <c r="A22" s="2" t="n">
        <v>20</v>
      </c>
      <c r="B22" s="2">
        <f>IF(Habits!B21="","",Habits!B21)</f>
        <v/>
      </c>
      <c r="C22" s="2">
        <f>IF(Habits!C21="","",Habits!C21)</f>
        <v/>
      </c>
      <c r="D22" s="37" t="b">
        <v>0</v>
      </c>
      <c r="E22" s="37" t="b">
        <v>0</v>
      </c>
      <c r="F22" s="37" t="b">
        <v>0</v>
      </c>
      <c r="G22" s="37" t="b">
        <v>0</v>
      </c>
      <c r="H22" s="37" t="b">
        <v>0</v>
      </c>
      <c r="I22" s="37" t="b">
        <v>0</v>
      </c>
      <c r="J22" s="37" t="b">
        <v>0</v>
      </c>
      <c r="K22" s="37" t="b">
        <v>0</v>
      </c>
      <c r="L22" s="37" t="b">
        <v>0</v>
      </c>
      <c r="M22" s="37" t="b">
        <v>0</v>
      </c>
      <c r="N22" s="37" t="b">
        <v>0</v>
      </c>
      <c r="O22" s="37" t="b">
        <v>0</v>
      </c>
      <c r="P22" s="37" t="b">
        <v>0</v>
      </c>
      <c r="Q22" s="37" t="b">
        <v>0</v>
      </c>
      <c r="R22" s="37" t="b">
        <v>0</v>
      </c>
      <c r="S22" s="37" t="b">
        <v>0</v>
      </c>
      <c r="T22" s="37" t="b">
        <v>0</v>
      </c>
      <c r="U22" s="37" t="b">
        <v>0</v>
      </c>
      <c r="V22" s="37" t="b">
        <v>0</v>
      </c>
      <c r="W22" s="37" t="b">
        <v>0</v>
      </c>
      <c r="X22" s="37" t="b">
        <v>0</v>
      </c>
      <c r="Y22" s="37" t="b">
        <v>0</v>
      </c>
      <c r="Z22" s="37" t="b">
        <v>0</v>
      </c>
      <c r="AA22" s="37" t="b">
        <v>0</v>
      </c>
      <c r="AB22" s="37" t="b">
        <v>0</v>
      </c>
      <c r="AC22" s="37" t="b">
        <v>0</v>
      </c>
      <c r="AD22" s="37" t="b">
        <v>0</v>
      </c>
      <c r="AE22" s="37" t="b">
        <v>0</v>
      </c>
      <c r="AF22" s="37" t="b">
        <v>0</v>
      </c>
      <c r="AG22" s="37" t="b">
        <v>0</v>
      </c>
      <c r="AH22" s="37" t="b">
        <v>0</v>
      </c>
      <c r="AI22" s="38">
        <f>IFERROR(COUNTIF(D22:INDEX($D22:$AH22,1,Helper!$AA$2),TRUE)/Helper!$AA$2,0)</f>
        <v/>
      </c>
      <c r="AJ22" s="2">
        <f>IF(Helper!$AA$2=0,0,MAX(ARRAYFORMULA(FREQUENCY(IF(D22:INDEX($D22:$AH22,1,Helper!$AA$2)=TRUE,COLUMN(D22:INDEX($D22:$AH22,1,Helper!$AA$2))),IF(D22:INDEX($D22:$AH22,1,Helper!$AA$2)=FALSE,COLUMN(D22:INDEX($D22:$AH22,1,Helper!$AA$2)))))))</f>
        <v/>
      </c>
      <c r="AK22" s="2">
        <f>IF(Helper!$AA$2=0,0,IF(INDEX($D22:$AH22,1,Helper!$AA$2)=FALSE,0,IFERROR(Helper!$AA$2-LOOKUP(2,1/(D22:INDEX($D22:$AH22,1,Helper!$AA$2)=FALSE),COLUMN(D22:INDEX($D22:$AH22,1,Helper!$AA$2))-COLUMN(D22)+1),Helper!$AA$2)))</f>
        <v/>
      </c>
      <c r="AL22" s="37">
        <f>IF(Helper!$AA$2=0,"",SPARKLINE(ARRAYFORMULA(N(D22:INDEX($D22:$AH22,1,Helper!$AA$2))),{"charttype","column";"max",1;"color1","#6BBF77";"empty","ignore"}))</f>
        <v/>
      </c>
    </row>
    <row r="23">
      <c r="A23" s="19" t="n">
        <v>21</v>
      </c>
      <c r="B23" s="19">
        <f>IF(Habits!B22="","",Habits!B22)</f>
        <v/>
      </c>
      <c r="C23" s="19">
        <f>IF(Habits!C22="","",Habits!C22)</f>
        <v/>
      </c>
      <c r="D23" s="36" t="b">
        <v>0</v>
      </c>
      <c r="E23" s="36" t="b">
        <v>0</v>
      </c>
      <c r="F23" s="36" t="b">
        <v>0</v>
      </c>
      <c r="G23" s="36" t="b">
        <v>0</v>
      </c>
      <c r="H23" s="36" t="b">
        <v>0</v>
      </c>
      <c r="I23" s="36" t="b">
        <v>0</v>
      </c>
      <c r="J23" s="36" t="b">
        <v>0</v>
      </c>
      <c r="K23" s="36" t="b">
        <v>0</v>
      </c>
      <c r="L23" s="36" t="b">
        <v>0</v>
      </c>
      <c r="M23" s="36" t="b">
        <v>0</v>
      </c>
      <c r="N23" s="36" t="b">
        <v>0</v>
      </c>
      <c r="O23" s="36" t="b">
        <v>0</v>
      </c>
      <c r="P23" s="36" t="b">
        <v>0</v>
      </c>
      <c r="Q23" s="36" t="b">
        <v>0</v>
      </c>
      <c r="R23" s="36" t="b">
        <v>0</v>
      </c>
      <c r="S23" s="36" t="b">
        <v>0</v>
      </c>
      <c r="T23" s="36" t="b">
        <v>0</v>
      </c>
      <c r="U23" s="36" t="b">
        <v>0</v>
      </c>
      <c r="V23" s="36" t="b">
        <v>0</v>
      </c>
      <c r="W23" s="36" t="b">
        <v>0</v>
      </c>
      <c r="X23" s="36" t="b">
        <v>0</v>
      </c>
      <c r="Y23" s="36" t="b">
        <v>0</v>
      </c>
      <c r="Z23" s="36" t="b">
        <v>0</v>
      </c>
      <c r="AA23" s="36" t="b">
        <v>0</v>
      </c>
      <c r="AB23" s="36" t="b">
        <v>0</v>
      </c>
      <c r="AC23" s="36" t="b">
        <v>0</v>
      </c>
      <c r="AD23" s="36" t="b">
        <v>0</v>
      </c>
      <c r="AE23" s="36" t="b">
        <v>0</v>
      </c>
      <c r="AF23" s="36" t="b">
        <v>0</v>
      </c>
      <c r="AG23" s="36" t="b">
        <v>0</v>
      </c>
      <c r="AH23" s="36" t="b">
        <v>0</v>
      </c>
      <c r="AI23" s="23">
        <f>IFERROR(COUNTIF(D23:INDEX($D23:$AH23,1,Helper!$AA$2),TRUE)/Helper!$AA$2,0)</f>
        <v/>
      </c>
      <c r="AJ23" s="19">
        <f>IF(Helper!$AA$2=0,0,MAX(ARRAYFORMULA(FREQUENCY(IF(D23:INDEX($D23:$AH23,1,Helper!$AA$2)=TRUE,COLUMN(D23:INDEX($D23:$AH23,1,Helper!$AA$2))),IF(D23:INDEX($D23:$AH23,1,Helper!$AA$2)=FALSE,COLUMN(D23:INDEX($D23:$AH23,1,Helper!$AA$2)))))))</f>
        <v/>
      </c>
      <c r="AK23" s="19">
        <f>IF(Helper!$AA$2=0,0,IF(INDEX($D23:$AH23,1,Helper!$AA$2)=FALSE,0,IFERROR(Helper!$AA$2-LOOKUP(2,1/(D23:INDEX($D23:$AH23,1,Helper!$AA$2)=FALSE),COLUMN(D23:INDEX($D23:$AH23,1,Helper!$AA$2))-COLUMN(D23)+1),Helper!$AA$2)))</f>
        <v/>
      </c>
      <c r="AL23" s="36">
        <f>IF(Helper!$AA$2=0,"",SPARKLINE(ARRAYFORMULA(N(D23:INDEX($D23:$AH23,1,Helper!$AA$2))),{"charttype","column";"max",1;"color1","#6BBF77";"empty","ignore"}))</f>
        <v/>
      </c>
    </row>
    <row r="24">
      <c r="A24" s="2" t="n">
        <v>22</v>
      </c>
      <c r="B24" s="2">
        <f>IF(Habits!B23="","",Habits!B23)</f>
        <v/>
      </c>
      <c r="C24" s="2">
        <f>IF(Habits!C23="","",Habits!C23)</f>
        <v/>
      </c>
      <c r="D24" s="37" t="b">
        <v>0</v>
      </c>
      <c r="E24" s="37" t="b">
        <v>0</v>
      </c>
      <c r="F24" s="37" t="b">
        <v>0</v>
      </c>
      <c r="G24" s="37" t="b">
        <v>0</v>
      </c>
      <c r="H24" s="37" t="b">
        <v>0</v>
      </c>
      <c r="I24" s="37" t="b">
        <v>0</v>
      </c>
      <c r="J24" s="37" t="b">
        <v>0</v>
      </c>
      <c r="K24" s="37" t="b">
        <v>0</v>
      </c>
      <c r="L24" s="37" t="b">
        <v>0</v>
      </c>
      <c r="M24" s="37" t="b">
        <v>0</v>
      </c>
      <c r="N24" s="37" t="b">
        <v>0</v>
      </c>
      <c r="O24" s="37" t="b">
        <v>0</v>
      </c>
      <c r="P24" s="37" t="b">
        <v>0</v>
      </c>
      <c r="Q24" s="37" t="b">
        <v>0</v>
      </c>
      <c r="R24" s="37" t="b">
        <v>0</v>
      </c>
      <c r="S24" s="37" t="b">
        <v>0</v>
      </c>
      <c r="T24" s="37" t="b">
        <v>0</v>
      </c>
      <c r="U24" s="37" t="b">
        <v>0</v>
      </c>
      <c r="V24" s="37" t="b">
        <v>0</v>
      </c>
      <c r="W24" s="37" t="b">
        <v>0</v>
      </c>
      <c r="X24" s="37" t="b">
        <v>0</v>
      </c>
      <c r="Y24" s="37" t="b">
        <v>0</v>
      </c>
      <c r="Z24" s="37" t="b">
        <v>0</v>
      </c>
      <c r="AA24" s="37" t="b">
        <v>0</v>
      </c>
      <c r="AB24" s="37" t="b">
        <v>0</v>
      </c>
      <c r="AC24" s="37" t="b">
        <v>0</v>
      </c>
      <c r="AD24" s="37" t="b">
        <v>0</v>
      </c>
      <c r="AE24" s="37" t="b">
        <v>0</v>
      </c>
      <c r="AF24" s="37" t="b">
        <v>0</v>
      </c>
      <c r="AG24" s="37" t="b">
        <v>0</v>
      </c>
      <c r="AH24" s="37" t="b">
        <v>0</v>
      </c>
      <c r="AI24" s="38">
        <f>IFERROR(COUNTIF(D24:INDEX($D24:$AH24,1,Helper!$AA$2),TRUE)/Helper!$AA$2,0)</f>
        <v/>
      </c>
      <c r="AJ24" s="2">
        <f>IF(Helper!$AA$2=0,0,MAX(ARRAYFORMULA(FREQUENCY(IF(D24:INDEX($D24:$AH24,1,Helper!$AA$2)=TRUE,COLUMN(D24:INDEX($D24:$AH24,1,Helper!$AA$2))),IF(D24:INDEX($D24:$AH24,1,Helper!$AA$2)=FALSE,COLUMN(D24:INDEX($D24:$AH24,1,Helper!$AA$2)))))))</f>
        <v/>
      </c>
      <c r="AK24" s="2">
        <f>IF(Helper!$AA$2=0,0,IF(INDEX($D24:$AH24,1,Helper!$AA$2)=FALSE,0,IFERROR(Helper!$AA$2-LOOKUP(2,1/(D24:INDEX($D24:$AH24,1,Helper!$AA$2)=FALSE),COLUMN(D24:INDEX($D24:$AH24,1,Helper!$AA$2))-COLUMN(D24)+1),Helper!$AA$2)))</f>
        <v/>
      </c>
      <c r="AL24" s="37">
        <f>IF(Helper!$AA$2=0,"",SPARKLINE(ARRAYFORMULA(N(D24:INDEX($D24:$AH24,1,Helper!$AA$2))),{"charttype","column";"max",1;"color1","#6BBF77";"empty","ignore"}))</f>
        <v/>
      </c>
    </row>
    <row r="25">
      <c r="A25" s="19" t="n">
        <v>23</v>
      </c>
      <c r="B25" s="19">
        <f>IF(Habits!B24="","",Habits!B24)</f>
        <v/>
      </c>
      <c r="C25" s="19">
        <f>IF(Habits!C24="","",Habits!C24)</f>
        <v/>
      </c>
      <c r="D25" s="36" t="b">
        <v>0</v>
      </c>
      <c r="E25" s="36" t="b">
        <v>0</v>
      </c>
      <c r="F25" s="36" t="b">
        <v>0</v>
      </c>
      <c r="G25" s="36" t="b">
        <v>0</v>
      </c>
      <c r="H25" s="36" t="b">
        <v>0</v>
      </c>
      <c r="I25" s="36" t="b">
        <v>0</v>
      </c>
      <c r="J25" s="36" t="b">
        <v>0</v>
      </c>
      <c r="K25" s="36" t="b">
        <v>0</v>
      </c>
      <c r="L25" s="36" t="b">
        <v>0</v>
      </c>
      <c r="M25" s="36" t="b">
        <v>0</v>
      </c>
      <c r="N25" s="36" t="b">
        <v>0</v>
      </c>
      <c r="O25" s="36" t="b">
        <v>0</v>
      </c>
      <c r="P25" s="36" t="b">
        <v>0</v>
      </c>
      <c r="Q25" s="36" t="b">
        <v>0</v>
      </c>
      <c r="R25" s="36" t="b">
        <v>0</v>
      </c>
      <c r="S25" s="36" t="b">
        <v>0</v>
      </c>
      <c r="T25" s="36" t="b">
        <v>0</v>
      </c>
      <c r="U25" s="36" t="b">
        <v>0</v>
      </c>
      <c r="V25" s="36" t="b">
        <v>0</v>
      </c>
      <c r="W25" s="36" t="b">
        <v>0</v>
      </c>
      <c r="X25" s="36" t="b">
        <v>0</v>
      </c>
      <c r="Y25" s="36" t="b">
        <v>0</v>
      </c>
      <c r="Z25" s="36" t="b">
        <v>0</v>
      </c>
      <c r="AA25" s="36" t="b">
        <v>0</v>
      </c>
      <c r="AB25" s="36" t="b">
        <v>0</v>
      </c>
      <c r="AC25" s="36" t="b">
        <v>0</v>
      </c>
      <c r="AD25" s="36" t="b">
        <v>0</v>
      </c>
      <c r="AE25" s="36" t="b">
        <v>0</v>
      </c>
      <c r="AF25" s="36" t="b">
        <v>0</v>
      </c>
      <c r="AG25" s="36" t="b">
        <v>0</v>
      </c>
      <c r="AH25" s="36" t="b">
        <v>0</v>
      </c>
      <c r="AI25" s="23">
        <f>IFERROR(COUNTIF(D25:INDEX($D25:$AH25,1,Helper!$AA$2),TRUE)/Helper!$AA$2,0)</f>
        <v/>
      </c>
      <c r="AJ25" s="19">
        <f>IF(Helper!$AA$2=0,0,MAX(ARRAYFORMULA(FREQUENCY(IF(D25:INDEX($D25:$AH25,1,Helper!$AA$2)=TRUE,COLUMN(D25:INDEX($D25:$AH25,1,Helper!$AA$2))),IF(D25:INDEX($D25:$AH25,1,Helper!$AA$2)=FALSE,COLUMN(D25:INDEX($D25:$AH25,1,Helper!$AA$2)))))))</f>
        <v/>
      </c>
      <c r="AK25" s="19">
        <f>IF(Helper!$AA$2=0,0,IF(INDEX($D25:$AH25,1,Helper!$AA$2)=FALSE,0,IFERROR(Helper!$AA$2-LOOKUP(2,1/(D25:INDEX($D25:$AH25,1,Helper!$AA$2)=FALSE),COLUMN(D25:INDEX($D25:$AH25,1,Helper!$AA$2))-COLUMN(D25)+1),Helper!$AA$2)))</f>
        <v/>
      </c>
      <c r="AL25" s="36">
        <f>IF(Helper!$AA$2=0,"",SPARKLINE(ARRAYFORMULA(N(D25:INDEX($D25:$AH25,1,Helper!$AA$2))),{"charttype","column";"max",1;"color1","#6BBF77";"empty","ignore"}))</f>
        <v/>
      </c>
    </row>
    <row r="26">
      <c r="A26" s="2" t="n">
        <v>24</v>
      </c>
      <c r="B26" s="2">
        <f>IF(Habits!B25="","",Habits!B25)</f>
        <v/>
      </c>
      <c r="C26" s="2">
        <f>IF(Habits!C25="","",Habits!C25)</f>
        <v/>
      </c>
      <c r="D26" s="37" t="b">
        <v>0</v>
      </c>
      <c r="E26" s="37" t="b">
        <v>0</v>
      </c>
      <c r="F26" s="37" t="b">
        <v>0</v>
      </c>
      <c r="G26" s="37" t="b">
        <v>0</v>
      </c>
      <c r="H26" s="37" t="b">
        <v>0</v>
      </c>
      <c r="I26" s="37" t="b">
        <v>0</v>
      </c>
      <c r="J26" s="37" t="b">
        <v>0</v>
      </c>
      <c r="K26" s="37" t="b">
        <v>0</v>
      </c>
      <c r="L26" s="37" t="b">
        <v>0</v>
      </c>
      <c r="M26" s="37" t="b">
        <v>0</v>
      </c>
      <c r="N26" s="37" t="b">
        <v>0</v>
      </c>
      <c r="O26" s="37" t="b">
        <v>0</v>
      </c>
      <c r="P26" s="37" t="b">
        <v>0</v>
      </c>
      <c r="Q26" s="37" t="b">
        <v>0</v>
      </c>
      <c r="R26" s="37" t="b">
        <v>0</v>
      </c>
      <c r="S26" s="37" t="b">
        <v>0</v>
      </c>
      <c r="T26" s="37" t="b">
        <v>0</v>
      </c>
      <c r="U26" s="37" t="b">
        <v>0</v>
      </c>
      <c r="V26" s="37" t="b">
        <v>0</v>
      </c>
      <c r="W26" s="37" t="b">
        <v>0</v>
      </c>
      <c r="X26" s="37" t="b">
        <v>0</v>
      </c>
      <c r="Y26" s="37" t="b">
        <v>0</v>
      </c>
      <c r="Z26" s="37" t="b">
        <v>0</v>
      </c>
      <c r="AA26" s="37" t="b">
        <v>0</v>
      </c>
      <c r="AB26" s="37" t="b">
        <v>0</v>
      </c>
      <c r="AC26" s="37" t="b">
        <v>0</v>
      </c>
      <c r="AD26" s="37" t="b">
        <v>0</v>
      </c>
      <c r="AE26" s="37" t="b">
        <v>0</v>
      </c>
      <c r="AF26" s="37" t="b">
        <v>0</v>
      </c>
      <c r="AG26" s="37" t="b">
        <v>0</v>
      </c>
      <c r="AH26" s="37" t="b">
        <v>0</v>
      </c>
      <c r="AI26" s="38">
        <f>IFERROR(COUNTIF(D26:INDEX($D26:$AH26,1,Helper!$AA$2),TRUE)/Helper!$AA$2,0)</f>
        <v/>
      </c>
      <c r="AJ26" s="2">
        <f>IF(Helper!$AA$2=0,0,MAX(ARRAYFORMULA(FREQUENCY(IF(D26:INDEX($D26:$AH26,1,Helper!$AA$2)=TRUE,COLUMN(D26:INDEX($D26:$AH26,1,Helper!$AA$2))),IF(D26:INDEX($D26:$AH26,1,Helper!$AA$2)=FALSE,COLUMN(D26:INDEX($D26:$AH26,1,Helper!$AA$2)))))))</f>
        <v/>
      </c>
      <c r="AK26" s="2">
        <f>IF(Helper!$AA$2=0,0,IF(INDEX($D26:$AH26,1,Helper!$AA$2)=FALSE,0,IFERROR(Helper!$AA$2-LOOKUP(2,1/(D26:INDEX($D26:$AH26,1,Helper!$AA$2)=FALSE),COLUMN(D26:INDEX($D26:$AH26,1,Helper!$AA$2))-COLUMN(D26)+1),Helper!$AA$2)))</f>
        <v/>
      </c>
      <c r="AL26" s="37">
        <f>IF(Helper!$AA$2=0,"",SPARKLINE(ARRAYFORMULA(N(D26:INDEX($D26:$AH26,1,Helper!$AA$2))),{"charttype","column";"max",1;"color1","#6BBF77";"empty","ignore"}))</f>
        <v/>
      </c>
    </row>
    <row r="27">
      <c r="A27" s="19" t="n">
        <v>25</v>
      </c>
      <c r="B27" s="19">
        <f>IF(Habits!B26="","",Habits!B26)</f>
        <v/>
      </c>
      <c r="C27" s="19">
        <f>IF(Habits!C26="","",Habits!C26)</f>
        <v/>
      </c>
      <c r="D27" s="36" t="b">
        <v>0</v>
      </c>
      <c r="E27" s="36" t="b">
        <v>0</v>
      </c>
      <c r="F27" s="36" t="b">
        <v>0</v>
      </c>
      <c r="G27" s="36" t="b">
        <v>0</v>
      </c>
      <c r="H27" s="36" t="b">
        <v>0</v>
      </c>
      <c r="I27" s="36" t="b">
        <v>0</v>
      </c>
      <c r="J27" s="36" t="b">
        <v>0</v>
      </c>
      <c r="K27" s="36" t="b">
        <v>0</v>
      </c>
      <c r="L27" s="36" t="b">
        <v>0</v>
      </c>
      <c r="M27" s="36" t="b">
        <v>0</v>
      </c>
      <c r="N27" s="36" t="b">
        <v>0</v>
      </c>
      <c r="O27" s="36" t="b">
        <v>0</v>
      </c>
      <c r="P27" s="36" t="b">
        <v>0</v>
      </c>
      <c r="Q27" s="36" t="b">
        <v>0</v>
      </c>
      <c r="R27" s="36" t="b">
        <v>0</v>
      </c>
      <c r="S27" s="36" t="b">
        <v>0</v>
      </c>
      <c r="T27" s="36" t="b">
        <v>0</v>
      </c>
      <c r="U27" s="36" t="b">
        <v>0</v>
      </c>
      <c r="V27" s="36" t="b">
        <v>0</v>
      </c>
      <c r="W27" s="36" t="b">
        <v>0</v>
      </c>
      <c r="X27" s="36" t="b">
        <v>0</v>
      </c>
      <c r="Y27" s="36" t="b">
        <v>0</v>
      </c>
      <c r="Z27" s="36" t="b">
        <v>0</v>
      </c>
      <c r="AA27" s="36" t="b">
        <v>0</v>
      </c>
      <c r="AB27" s="36" t="b">
        <v>0</v>
      </c>
      <c r="AC27" s="36" t="b">
        <v>0</v>
      </c>
      <c r="AD27" s="36" t="b">
        <v>0</v>
      </c>
      <c r="AE27" s="36" t="b">
        <v>0</v>
      </c>
      <c r="AF27" s="36" t="b">
        <v>0</v>
      </c>
      <c r="AG27" s="36" t="b">
        <v>0</v>
      </c>
      <c r="AH27" s="36" t="b">
        <v>0</v>
      </c>
      <c r="AI27" s="23">
        <f>IFERROR(COUNTIF(D27:INDEX($D27:$AH27,1,Helper!$AA$2),TRUE)/Helper!$AA$2,0)</f>
        <v/>
      </c>
      <c r="AJ27" s="19">
        <f>IF(Helper!$AA$2=0,0,MAX(ARRAYFORMULA(FREQUENCY(IF(D27:INDEX($D27:$AH27,1,Helper!$AA$2)=TRUE,COLUMN(D27:INDEX($D27:$AH27,1,Helper!$AA$2))),IF(D27:INDEX($D27:$AH27,1,Helper!$AA$2)=FALSE,COLUMN(D27:INDEX($D27:$AH27,1,Helper!$AA$2)))))))</f>
        <v/>
      </c>
      <c r="AK27" s="19">
        <f>IF(Helper!$AA$2=0,0,IF(INDEX($D27:$AH27,1,Helper!$AA$2)=FALSE,0,IFERROR(Helper!$AA$2-LOOKUP(2,1/(D27:INDEX($D27:$AH27,1,Helper!$AA$2)=FALSE),COLUMN(D27:INDEX($D27:$AH27,1,Helper!$AA$2))-COLUMN(D27)+1),Helper!$AA$2)))</f>
        <v/>
      </c>
      <c r="AL27" s="36">
        <f>IF(Helper!$AA$2=0,"",SPARKLINE(ARRAYFORMULA(N(D27:INDEX($D27:$AH27,1,Helper!$AA$2))),{"charttype","column";"max",1;"color1","#6BBF77";"empty","ignore"}))</f>
        <v/>
      </c>
    </row>
    <row r="28">
      <c r="A28" s="2" t="n">
        <v>26</v>
      </c>
      <c r="B28" s="2">
        <f>IF(Habits!B27="","",Habits!B27)</f>
        <v/>
      </c>
      <c r="C28" s="2">
        <f>IF(Habits!C27="","",Habits!C27)</f>
        <v/>
      </c>
      <c r="D28" s="37" t="b">
        <v>0</v>
      </c>
      <c r="E28" s="37" t="b">
        <v>0</v>
      </c>
      <c r="F28" s="37" t="b">
        <v>0</v>
      </c>
      <c r="G28" s="37" t="b">
        <v>0</v>
      </c>
      <c r="H28" s="37" t="b">
        <v>0</v>
      </c>
      <c r="I28" s="37" t="b">
        <v>0</v>
      </c>
      <c r="J28" s="37" t="b">
        <v>0</v>
      </c>
      <c r="K28" s="37" t="b">
        <v>0</v>
      </c>
      <c r="L28" s="37" t="b">
        <v>0</v>
      </c>
      <c r="M28" s="37" t="b">
        <v>0</v>
      </c>
      <c r="N28" s="37" t="b">
        <v>0</v>
      </c>
      <c r="O28" s="37" t="b">
        <v>0</v>
      </c>
      <c r="P28" s="37" t="b">
        <v>0</v>
      </c>
      <c r="Q28" s="37" t="b">
        <v>0</v>
      </c>
      <c r="R28" s="37" t="b">
        <v>0</v>
      </c>
      <c r="S28" s="37" t="b">
        <v>0</v>
      </c>
      <c r="T28" s="37" t="b">
        <v>0</v>
      </c>
      <c r="U28" s="37" t="b">
        <v>0</v>
      </c>
      <c r="V28" s="37" t="b">
        <v>0</v>
      </c>
      <c r="W28" s="37" t="b">
        <v>0</v>
      </c>
      <c r="X28" s="37" t="b">
        <v>0</v>
      </c>
      <c r="Y28" s="37" t="b">
        <v>0</v>
      </c>
      <c r="Z28" s="37" t="b">
        <v>0</v>
      </c>
      <c r="AA28" s="37" t="b">
        <v>0</v>
      </c>
      <c r="AB28" s="37" t="b">
        <v>0</v>
      </c>
      <c r="AC28" s="37" t="b">
        <v>0</v>
      </c>
      <c r="AD28" s="37" t="b">
        <v>0</v>
      </c>
      <c r="AE28" s="37" t="b">
        <v>0</v>
      </c>
      <c r="AF28" s="37" t="b">
        <v>0</v>
      </c>
      <c r="AG28" s="37" t="b">
        <v>0</v>
      </c>
      <c r="AH28" s="37" t="b">
        <v>0</v>
      </c>
      <c r="AI28" s="38">
        <f>IFERROR(COUNTIF(D28:INDEX($D28:$AH28,1,Helper!$AA$2),TRUE)/Helper!$AA$2,0)</f>
        <v/>
      </c>
      <c r="AJ28" s="2">
        <f>IF(Helper!$AA$2=0,0,MAX(ARRAYFORMULA(FREQUENCY(IF(D28:INDEX($D28:$AH28,1,Helper!$AA$2)=TRUE,COLUMN(D28:INDEX($D28:$AH28,1,Helper!$AA$2))),IF(D28:INDEX($D28:$AH28,1,Helper!$AA$2)=FALSE,COLUMN(D28:INDEX($D28:$AH28,1,Helper!$AA$2)))))))</f>
        <v/>
      </c>
      <c r="AK28" s="2">
        <f>IF(Helper!$AA$2=0,0,IF(INDEX($D28:$AH28,1,Helper!$AA$2)=FALSE,0,IFERROR(Helper!$AA$2-LOOKUP(2,1/(D28:INDEX($D28:$AH28,1,Helper!$AA$2)=FALSE),COLUMN(D28:INDEX($D28:$AH28,1,Helper!$AA$2))-COLUMN(D28)+1),Helper!$AA$2)))</f>
        <v/>
      </c>
      <c r="AL28" s="37">
        <f>IF(Helper!$AA$2=0,"",SPARKLINE(ARRAYFORMULA(N(D28:INDEX($D28:$AH28,1,Helper!$AA$2))),{"charttype","column";"max",1;"color1","#6BBF77";"empty","ignore"}))</f>
        <v/>
      </c>
    </row>
    <row r="29">
      <c r="A29" s="19" t="n">
        <v>27</v>
      </c>
      <c r="B29" s="19">
        <f>IF(Habits!B28="","",Habits!B28)</f>
        <v/>
      </c>
      <c r="C29" s="19">
        <f>IF(Habits!C28="","",Habits!C28)</f>
        <v/>
      </c>
      <c r="D29" s="36" t="b">
        <v>0</v>
      </c>
      <c r="E29" s="36" t="b">
        <v>0</v>
      </c>
      <c r="F29" s="36" t="b">
        <v>0</v>
      </c>
      <c r="G29" s="36" t="b">
        <v>0</v>
      </c>
      <c r="H29" s="36" t="b">
        <v>0</v>
      </c>
      <c r="I29" s="36" t="b">
        <v>0</v>
      </c>
      <c r="J29" s="36" t="b">
        <v>0</v>
      </c>
      <c r="K29" s="36" t="b">
        <v>0</v>
      </c>
      <c r="L29" s="36" t="b">
        <v>0</v>
      </c>
      <c r="M29" s="36" t="b">
        <v>0</v>
      </c>
      <c r="N29" s="36" t="b">
        <v>0</v>
      </c>
      <c r="O29" s="36" t="b">
        <v>0</v>
      </c>
      <c r="P29" s="36" t="b">
        <v>0</v>
      </c>
      <c r="Q29" s="36" t="b">
        <v>0</v>
      </c>
      <c r="R29" s="36" t="b">
        <v>0</v>
      </c>
      <c r="S29" s="36" t="b">
        <v>0</v>
      </c>
      <c r="T29" s="36" t="b">
        <v>0</v>
      </c>
      <c r="U29" s="36" t="b">
        <v>0</v>
      </c>
      <c r="V29" s="36" t="b">
        <v>0</v>
      </c>
      <c r="W29" s="36" t="b">
        <v>0</v>
      </c>
      <c r="X29" s="36" t="b">
        <v>0</v>
      </c>
      <c r="Y29" s="36" t="b">
        <v>0</v>
      </c>
      <c r="Z29" s="36" t="b">
        <v>0</v>
      </c>
      <c r="AA29" s="36" t="b">
        <v>0</v>
      </c>
      <c r="AB29" s="36" t="b">
        <v>0</v>
      </c>
      <c r="AC29" s="36" t="b">
        <v>0</v>
      </c>
      <c r="AD29" s="36" t="b">
        <v>0</v>
      </c>
      <c r="AE29" s="36" t="b">
        <v>0</v>
      </c>
      <c r="AF29" s="36" t="b">
        <v>0</v>
      </c>
      <c r="AG29" s="36" t="b">
        <v>0</v>
      </c>
      <c r="AH29" s="36" t="b">
        <v>0</v>
      </c>
      <c r="AI29" s="23">
        <f>IFERROR(COUNTIF(D29:INDEX($D29:$AH29,1,Helper!$AA$2),TRUE)/Helper!$AA$2,0)</f>
        <v/>
      </c>
      <c r="AJ29" s="19">
        <f>IF(Helper!$AA$2=0,0,MAX(ARRAYFORMULA(FREQUENCY(IF(D29:INDEX($D29:$AH29,1,Helper!$AA$2)=TRUE,COLUMN(D29:INDEX($D29:$AH29,1,Helper!$AA$2))),IF(D29:INDEX($D29:$AH29,1,Helper!$AA$2)=FALSE,COLUMN(D29:INDEX($D29:$AH29,1,Helper!$AA$2)))))))</f>
        <v/>
      </c>
      <c r="AK29" s="19">
        <f>IF(Helper!$AA$2=0,0,IF(INDEX($D29:$AH29,1,Helper!$AA$2)=FALSE,0,IFERROR(Helper!$AA$2-LOOKUP(2,1/(D29:INDEX($D29:$AH29,1,Helper!$AA$2)=FALSE),COLUMN(D29:INDEX($D29:$AH29,1,Helper!$AA$2))-COLUMN(D29)+1),Helper!$AA$2)))</f>
        <v/>
      </c>
      <c r="AL29" s="36">
        <f>IF(Helper!$AA$2=0,"",SPARKLINE(ARRAYFORMULA(N(D29:INDEX($D29:$AH29,1,Helper!$AA$2))),{"charttype","column";"max",1;"color1","#6BBF77";"empty","ignore"}))</f>
        <v/>
      </c>
    </row>
    <row r="30">
      <c r="A30" s="2" t="n">
        <v>28</v>
      </c>
      <c r="B30" s="2">
        <f>IF(Habits!B29="","",Habits!B29)</f>
        <v/>
      </c>
      <c r="C30" s="2">
        <f>IF(Habits!C29="","",Habits!C29)</f>
        <v/>
      </c>
      <c r="D30" s="37" t="b">
        <v>0</v>
      </c>
      <c r="E30" s="37" t="b">
        <v>0</v>
      </c>
      <c r="F30" s="37" t="b">
        <v>0</v>
      </c>
      <c r="G30" s="37" t="b">
        <v>0</v>
      </c>
      <c r="H30" s="37" t="b">
        <v>0</v>
      </c>
      <c r="I30" s="37" t="b">
        <v>0</v>
      </c>
      <c r="J30" s="37" t="b">
        <v>0</v>
      </c>
      <c r="K30" s="37" t="b">
        <v>0</v>
      </c>
      <c r="L30" s="37" t="b">
        <v>0</v>
      </c>
      <c r="M30" s="37" t="b">
        <v>0</v>
      </c>
      <c r="N30" s="37" t="b">
        <v>0</v>
      </c>
      <c r="O30" s="37" t="b">
        <v>0</v>
      </c>
      <c r="P30" s="37" t="b">
        <v>0</v>
      </c>
      <c r="Q30" s="37" t="b">
        <v>0</v>
      </c>
      <c r="R30" s="37" t="b">
        <v>0</v>
      </c>
      <c r="S30" s="37" t="b">
        <v>0</v>
      </c>
      <c r="T30" s="37" t="b">
        <v>0</v>
      </c>
      <c r="U30" s="37" t="b">
        <v>0</v>
      </c>
      <c r="V30" s="37" t="b">
        <v>0</v>
      </c>
      <c r="W30" s="37" t="b">
        <v>0</v>
      </c>
      <c r="X30" s="37" t="b">
        <v>0</v>
      </c>
      <c r="Y30" s="37" t="b">
        <v>0</v>
      </c>
      <c r="Z30" s="37" t="b">
        <v>0</v>
      </c>
      <c r="AA30" s="37" t="b">
        <v>0</v>
      </c>
      <c r="AB30" s="37" t="b">
        <v>0</v>
      </c>
      <c r="AC30" s="37" t="b">
        <v>0</v>
      </c>
      <c r="AD30" s="37" t="b">
        <v>0</v>
      </c>
      <c r="AE30" s="37" t="b">
        <v>0</v>
      </c>
      <c r="AF30" s="37" t="b">
        <v>0</v>
      </c>
      <c r="AG30" s="37" t="b">
        <v>0</v>
      </c>
      <c r="AH30" s="37" t="b">
        <v>0</v>
      </c>
      <c r="AI30" s="38">
        <f>IFERROR(COUNTIF(D30:INDEX($D30:$AH30,1,Helper!$AA$2),TRUE)/Helper!$AA$2,0)</f>
        <v/>
      </c>
      <c r="AJ30" s="2">
        <f>IF(Helper!$AA$2=0,0,MAX(ARRAYFORMULA(FREQUENCY(IF(D30:INDEX($D30:$AH30,1,Helper!$AA$2)=TRUE,COLUMN(D30:INDEX($D30:$AH30,1,Helper!$AA$2))),IF(D30:INDEX($D30:$AH30,1,Helper!$AA$2)=FALSE,COLUMN(D30:INDEX($D30:$AH30,1,Helper!$AA$2)))))))</f>
        <v/>
      </c>
      <c r="AK30" s="2">
        <f>IF(Helper!$AA$2=0,0,IF(INDEX($D30:$AH30,1,Helper!$AA$2)=FALSE,0,IFERROR(Helper!$AA$2-LOOKUP(2,1/(D30:INDEX($D30:$AH30,1,Helper!$AA$2)=FALSE),COLUMN(D30:INDEX($D30:$AH30,1,Helper!$AA$2))-COLUMN(D30)+1),Helper!$AA$2)))</f>
        <v/>
      </c>
      <c r="AL30" s="37">
        <f>IF(Helper!$AA$2=0,"",SPARKLINE(ARRAYFORMULA(N(D30:INDEX($D30:$AH30,1,Helper!$AA$2))),{"charttype","column";"max",1;"color1","#6BBF77";"empty","ignore"}))</f>
        <v/>
      </c>
    </row>
    <row r="31">
      <c r="A31" s="19" t="n">
        <v>29</v>
      </c>
      <c r="B31" s="19">
        <f>IF(Habits!B30="","",Habits!B30)</f>
        <v/>
      </c>
      <c r="C31" s="19">
        <f>IF(Habits!C30="","",Habits!C30)</f>
        <v/>
      </c>
      <c r="D31" s="36" t="b">
        <v>0</v>
      </c>
      <c r="E31" s="36" t="b">
        <v>0</v>
      </c>
      <c r="F31" s="36" t="b">
        <v>0</v>
      </c>
      <c r="G31" s="36" t="b">
        <v>0</v>
      </c>
      <c r="H31" s="36" t="b">
        <v>0</v>
      </c>
      <c r="I31" s="36" t="b">
        <v>0</v>
      </c>
      <c r="J31" s="36" t="b">
        <v>0</v>
      </c>
      <c r="K31" s="36" t="b">
        <v>0</v>
      </c>
      <c r="L31" s="36" t="b">
        <v>0</v>
      </c>
      <c r="M31" s="36" t="b">
        <v>0</v>
      </c>
      <c r="N31" s="36" t="b">
        <v>0</v>
      </c>
      <c r="O31" s="36" t="b">
        <v>0</v>
      </c>
      <c r="P31" s="36" t="b">
        <v>0</v>
      </c>
      <c r="Q31" s="36" t="b">
        <v>0</v>
      </c>
      <c r="R31" s="36" t="b">
        <v>0</v>
      </c>
      <c r="S31" s="36" t="b">
        <v>0</v>
      </c>
      <c r="T31" s="36" t="b">
        <v>0</v>
      </c>
      <c r="U31" s="36" t="b">
        <v>0</v>
      </c>
      <c r="V31" s="36" t="b">
        <v>0</v>
      </c>
      <c r="W31" s="36" t="b">
        <v>0</v>
      </c>
      <c r="X31" s="36" t="b">
        <v>0</v>
      </c>
      <c r="Y31" s="36" t="b">
        <v>0</v>
      </c>
      <c r="Z31" s="36" t="b">
        <v>0</v>
      </c>
      <c r="AA31" s="36" t="b">
        <v>0</v>
      </c>
      <c r="AB31" s="36" t="b">
        <v>0</v>
      </c>
      <c r="AC31" s="36" t="b">
        <v>0</v>
      </c>
      <c r="AD31" s="36" t="b">
        <v>0</v>
      </c>
      <c r="AE31" s="36" t="b">
        <v>0</v>
      </c>
      <c r="AF31" s="36" t="b">
        <v>0</v>
      </c>
      <c r="AG31" s="36" t="b">
        <v>0</v>
      </c>
      <c r="AH31" s="36" t="b">
        <v>0</v>
      </c>
      <c r="AI31" s="23">
        <f>IFERROR(COUNTIF(D31:INDEX($D31:$AH31,1,Helper!$AA$2),TRUE)/Helper!$AA$2,0)</f>
        <v/>
      </c>
      <c r="AJ31" s="19">
        <f>IF(Helper!$AA$2=0,0,MAX(ARRAYFORMULA(FREQUENCY(IF(D31:INDEX($D31:$AH31,1,Helper!$AA$2)=TRUE,COLUMN(D31:INDEX($D31:$AH31,1,Helper!$AA$2))),IF(D31:INDEX($D31:$AH31,1,Helper!$AA$2)=FALSE,COLUMN(D31:INDEX($D31:$AH31,1,Helper!$AA$2)))))))</f>
        <v/>
      </c>
      <c r="AK31" s="19">
        <f>IF(Helper!$AA$2=0,0,IF(INDEX($D31:$AH31,1,Helper!$AA$2)=FALSE,0,IFERROR(Helper!$AA$2-LOOKUP(2,1/(D31:INDEX($D31:$AH31,1,Helper!$AA$2)=FALSE),COLUMN(D31:INDEX($D31:$AH31,1,Helper!$AA$2))-COLUMN(D31)+1),Helper!$AA$2)))</f>
        <v/>
      </c>
      <c r="AL31" s="36">
        <f>IF(Helper!$AA$2=0,"",SPARKLINE(ARRAYFORMULA(N(D31:INDEX($D31:$AH31,1,Helper!$AA$2))),{"charttype","column";"max",1;"color1","#6BBF77";"empty","ignore"}))</f>
        <v/>
      </c>
    </row>
    <row r="32">
      <c r="A32" s="2" t="n">
        <v>30</v>
      </c>
      <c r="B32" s="2">
        <f>IF(Habits!B31="","",Habits!B31)</f>
        <v/>
      </c>
      <c r="C32" s="2">
        <f>IF(Habits!C31="","",Habits!C31)</f>
        <v/>
      </c>
      <c r="D32" s="37" t="b">
        <v>0</v>
      </c>
      <c r="E32" s="37" t="b">
        <v>0</v>
      </c>
      <c r="F32" s="37" t="b">
        <v>0</v>
      </c>
      <c r="G32" s="37" t="b">
        <v>0</v>
      </c>
      <c r="H32" s="37" t="b">
        <v>0</v>
      </c>
      <c r="I32" s="37" t="b">
        <v>0</v>
      </c>
      <c r="J32" s="37" t="b">
        <v>0</v>
      </c>
      <c r="K32" s="37" t="b">
        <v>0</v>
      </c>
      <c r="L32" s="37" t="b">
        <v>0</v>
      </c>
      <c r="M32" s="37" t="b">
        <v>0</v>
      </c>
      <c r="N32" s="37" t="b">
        <v>0</v>
      </c>
      <c r="O32" s="37" t="b">
        <v>0</v>
      </c>
      <c r="P32" s="37" t="b">
        <v>0</v>
      </c>
      <c r="Q32" s="37" t="b">
        <v>0</v>
      </c>
      <c r="R32" s="37" t="b">
        <v>0</v>
      </c>
      <c r="S32" s="37" t="b">
        <v>0</v>
      </c>
      <c r="T32" s="37" t="b">
        <v>0</v>
      </c>
      <c r="U32" s="37" t="b">
        <v>0</v>
      </c>
      <c r="V32" s="37" t="b">
        <v>0</v>
      </c>
      <c r="W32" s="37" t="b">
        <v>0</v>
      </c>
      <c r="X32" s="37" t="b">
        <v>0</v>
      </c>
      <c r="Y32" s="37" t="b">
        <v>0</v>
      </c>
      <c r="Z32" s="37" t="b">
        <v>0</v>
      </c>
      <c r="AA32" s="37" t="b">
        <v>0</v>
      </c>
      <c r="AB32" s="37" t="b">
        <v>0</v>
      </c>
      <c r="AC32" s="37" t="b">
        <v>0</v>
      </c>
      <c r="AD32" s="37" t="b">
        <v>0</v>
      </c>
      <c r="AE32" s="37" t="b">
        <v>0</v>
      </c>
      <c r="AF32" s="37" t="b">
        <v>0</v>
      </c>
      <c r="AG32" s="37" t="b">
        <v>0</v>
      </c>
      <c r="AH32" s="37" t="b">
        <v>0</v>
      </c>
      <c r="AI32" s="38">
        <f>IFERROR(COUNTIF(D32:INDEX($D32:$AH32,1,Helper!$AA$2),TRUE)/Helper!$AA$2,0)</f>
        <v/>
      </c>
      <c r="AJ32" s="2">
        <f>IF(Helper!$AA$2=0,0,MAX(ARRAYFORMULA(FREQUENCY(IF(D32:INDEX($D32:$AH32,1,Helper!$AA$2)=TRUE,COLUMN(D32:INDEX($D32:$AH32,1,Helper!$AA$2))),IF(D32:INDEX($D32:$AH32,1,Helper!$AA$2)=FALSE,COLUMN(D32:INDEX($D32:$AH32,1,Helper!$AA$2)))))))</f>
        <v/>
      </c>
      <c r="AK32" s="2">
        <f>IF(Helper!$AA$2=0,0,IF(INDEX($D32:$AH32,1,Helper!$AA$2)=FALSE,0,IFERROR(Helper!$AA$2-LOOKUP(2,1/(D32:INDEX($D32:$AH32,1,Helper!$AA$2)=FALSE),COLUMN(D32:INDEX($D32:$AH32,1,Helper!$AA$2))-COLUMN(D32)+1),Helper!$AA$2)))</f>
        <v/>
      </c>
      <c r="AL32" s="37">
        <f>IF(Helper!$AA$2=0,"",SPARKLINE(ARRAYFORMULA(N(D32:INDEX($D32:$AH32,1,Helper!$AA$2))),{"charttype","column";"max",1;"color1","#6BBF77";"empty","ignore"}))</f>
        <v/>
      </c>
    </row>
  </sheetData>
  <conditionalFormatting sqref="D3:AH32">
    <cfRule type="expression" priority="1" dxfId="6">
      <formula>D3=TRUE</formula>
    </cfRule>
  </conditionalFormatting>
  <conditionalFormatting sqref="AI3:AI32">
    <cfRule type="cellIs" priority="2" operator="greaterThanOrEqual" dxfId="6">
      <formula>0.8</formula>
    </cfRule>
    <cfRule type="cellIs" priority="3" operator="between" dxfId="7">
      <formula>0.4</formula>
      <formula>0.8</formula>
    </cfRule>
    <cfRule type="cellIs" priority="4" operator="lessThan" dxfId="8">
      <formula>0.4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C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6" customWidth="1" min="3" max="3"/>
  </cols>
  <sheetData>
    <row r="1">
      <c r="A1" s="39" t="inlineStr">
        <is>
          <t>No.</t>
        </is>
      </c>
      <c r="B1" s="39" t="inlineStr">
        <is>
          <t>Habit Name</t>
        </is>
      </c>
      <c r="C1" s="39" t="inlineStr">
        <is>
          <t>Category</t>
        </is>
      </c>
    </row>
    <row r="2">
      <c r="A2" s="19" t="n">
        <v>1</v>
      </c>
      <c r="B2" s="19" t="inlineStr">
        <is>
          <t>Morning Exercise</t>
        </is>
      </c>
      <c r="C2" s="19" t="inlineStr">
        <is>
          <t>Health</t>
        </is>
      </c>
    </row>
    <row r="3">
      <c r="A3" s="2" t="n">
        <v>2</v>
      </c>
      <c r="B3" s="2" t="inlineStr">
        <is>
          <t>Hydration 2L</t>
        </is>
      </c>
      <c r="C3" s="2" t="inlineStr">
        <is>
          <t>Health</t>
        </is>
      </c>
    </row>
    <row r="4">
      <c r="A4" s="19" t="n">
        <v>3</v>
      </c>
      <c r="B4" s="19" t="inlineStr">
        <is>
          <t>Sleep by 10 pm</t>
        </is>
      </c>
      <c r="C4" s="19" t="inlineStr">
        <is>
          <t>Health</t>
        </is>
      </c>
    </row>
    <row r="5">
      <c r="A5" s="2" t="n">
        <v>4</v>
      </c>
      <c r="B5" s="2" t="inlineStr">
        <is>
          <t>No Junk Food</t>
        </is>
      </c>
      <c r="C5" s="2" t="inlineStr">
        <is>
          <t>Health</t>
        </is>
      </c>
    </row>
    <row r="6">
      <c r="A6" s="19" t="n">
        <v>5</v>
      </c>
      <c r="B6" s="19" t="inlineStr">
        <is>
          <t>Walk 10k Steps</t>
        </is>
      </c>
      <c r="C6" s="19" t="inlineStr">
        <is>
          <t>Health</t>
        </is>
      </c>
    </row>
    <row r="7">
      <c r="A7" s="2" t="n">
        <v>6</v>
      </c>
      <c r="B7" s="2" t="inlineStr">
        <is>
          <t>Cook at Home</t>
        </is>
      </c>
      <c r="C7" s="2" t="inlineStr">
        <is>
          <t>Health</t>
        </is>
      </c>
    </row>
    <row r="8">
      <c r="A8" s="19" t="n">
        <v>7</v>
      </c>
      <c r="B8" s="19" t="inlineStr">
        <is>
          <t>Read 30 min</t>
        </is>
      </c>
      <c r="C8" s="19" t="inlineStr">
        <is>
          <t>Learning</t>
        </is>
      </c>
    </row>
    <row r="9">
      <c r="A9" s="2" t="n">
        <v>8</v>
      </c>
      <c r="B9" s="2" t="inlineStr">
        <is>
          <t>Journal</t>
        </is>
      </c>
      <c r="C9" s="2" t="inlineStr">
        <is>
          <t>Learning</t>
        </is>
      </c>
    </row>
    <row r="10">
      <c r="A10" s="19" t="n">
        <v>9</v>
      </c>
      <c r="B10" s="19" t="inlineStr">
        <is>
          <t>Learn a Language</t>
        </is>
      </c>
      <c r="C10" s="19" t="inlineStr">
        <is>
          <t>Learning</t>
        </is>
      </c>
    </row>
    <row r="11">
      <c r="A11" s="2" t="n">
        <v>10</v>
      </c>
      <c r="B11" s="2" t="inlineStr">
        <is>
          <t>Gratitude List</t>
        </is>
      </c>
      <c r="C11" s="2" t="inlineStr">
        <is>
          <t>Learning</t>
        </is>
      </c>
    </row>
    <row r="12">
      <c r="A12" s="19" t="n">
        <v>11</v>
      </c>
      <c r="B12" s="19" t="inlineStr">
        <is>
          <t>Practice a Skill</t>
        </is>
      </c>
      <c r="C12" s="19" t="inlineStr">
        <is>
          <t>Learning</t>
        </is>
      </c>
    </row>
    <row r="13">
      <c r="A13" s="2" t="n">
        <v>12</v>
      </c>
      <c r="B13" s="2" t="inlineStr">
        <is>
          <t>Creative Work</t>
        </is>
      </c>
      <c r="C13" s="2" t="inlineStr">
        <is>
          <t>Learning</t>
        </is>
      </c>
    </row>
    <row r="14">
      <c r="A14" s="19" t="n">
        <v>13</v>
      </c>
      <c r="B14" s="19" t="inlineStr">
        <is>
          <t>Learning Module</t>
        </is>
      </c>
      <c r="C14" s="19" t="inlineStr">
        <is>
          <t>Learning</t>
        </is>
      </c>
    </row>
    <row r="15">
      <c r="A15" s="2" t="n">
        <v>14</v>
      </c>
      <c r="B15" s="2" t="inlineStr">
        <is>
          <t>Deep Work Block</t>
        </is>
      </c>
      <c r="C15" s="2" t="inlineStr">
        <is>
          <t>Career</t>
        </is>
      </c>
    </row>
    <row r="16">
      <c r="A16" s="19" t="n">
        <v>15</v>
      </c>
      <c r="B16" s="19" t="inlineStr">
        <is>
          <t>Review Goals</t>
        </is>
      </c>
      <c r="C16" s="19" t="inlineStr">
        <is>
          <t>Career</t>
        </is>
      </c>
    </row>
    <row r="17">
      <c r="A17" s="2" t="n">
        <v>16</v>
      </c>
      <c r="B17" s="2" t="inlineStr">
        <is>
          <t>No Social Media</t>
        </is>
      </c>
      <c r="C17" s="2" t="inlineStr">
        <is>
          <t>Career</t>
        </is>
      </c>
    </row>
    <row r="18">
      <c r="A18" s="19" t="n">
        <v>17</v>
      </c>
      <c r="B18" s="19" t="inlineStr">
        <is>
          <t>Networking Task</t>
        </is>
      </c>
      <c r="C18" s="19" t="inlineStr">
        <is>
          <t>Career</t>
        </is>
      </c>
    </row>
    <row r="19">
      <c r="A19" s="2" t="n">
        <v>18</v>
      </c>
      <c r="B19" s="2" t="inlineStr">
        <is>
          <t>Side Project</t>
        </is>
      </c>
      <c r="C19" s="2" t="inlineStr">
        <is>
          <t>Career</t>
        </is>
      </c>
    </row>
    <row r="20">
      <c r="A20" s="19" t="n">
        <v>19</v>
      </c>
      <c r="B20" s="19" t="inlineStr">
        <is>
          <t>Read Industry News</t>
        </is>
      </c>
      <c r="C20" s="19" t="inlineStr">
        <is>
          <t>Career</t>
        </is>
      </c>
    </row>
    <row r="21">
      <c r="A21" s="2" t="n">
        <v>20</v>
      </c>
      <c r="B21" s="2" t="inlineStr">
        <is>
          <t>Email Zero</t>
        </is>
      </c>
      <c r="C21" s="2" t="inlineStr">
        <is>
          <t>Career</t>
        </is>
      </c>
    </row>
    <row r="22">
      <c r="A22" s="19" t="n">
        <v>21</v>
      </c>
      <c r="B22" s="19" t="inlineStr">
        <is>
          <t>Plan Tomorrow</t>
        </is>
      </c>
      <c r="C22" s="19" t="inlineStr">
        <is>
          <t>Career</t>
        </is>
      </c>
    </row>
    <row r="23">
      <c r="A23" s="2" t="n">
        <v>22</v>
      </c>
      <c r="B23" s="2" t="inlineStr">
        <is>
          <t>Weekly Review</t>
        </is>
      </c>
      <c r="C23" s="2" t="inlineStr">
        <is>
          <t>Career</t>
        </is>
      </c>
    </row>
    <row r="24">
      <c r="A24" s="19" t="n">
        <v>23</v>
      </c>
      <c r="B24" s="19" t="inlineStr">
        <is>
          <t>Savings Transfer</t>
        </is>
      </c>
      <c r="C24" s="19" t="inlineStr">
        <is>
          <t>Finance</t>
        </is>
      </c>
    </row>
    <row r="25">
      <c r="A25" s="2" t="n">
        <v>24</v>
      </c>
      <c r="B25" s="2" t="inlineStr">
        <is>
          <t>Track Spending</t>
        </is>
      </c>
      <c r="C25" s="2" t="inlineStr">
        <is>
          <t>Finance</t>
        </is>
      </c>
    </row>
    <row r="26">
      <c r="A26" s="19" t="n">
        <v>25</v>
      </c>
      <c r="B26" s="19" t="inlineStr">
        <is>
          <t>No Impulse Buys</t>
        </is>
      </c>
      <c r="C26" s="19" t="inlineStr">
        <is>
          <t>Finance</t>
        </is>
      </c>
    </row>
    <row r="27">
      <c r="A27" s="2" t="n">
        <v>26</v>
      </c>
      <c r="B27" s="2" t="inlineStr">
        <is>
          <t>Affirmations</t>
        </is>
      </c>
      <c r="C27" s="2" t="inlineStr">
        <is>
          <t>Mindset</t>
        </is>
      </c>
    </row>
    <row r="28">
      <c r="A28" s="19" t="n">
        <v>27</v>
      </c>
      <c r="B28" s="19" t="inlineStr">
        <is>
          <t>Outdoor Time</t>
        </is>
      </c>
      <c r="C28" s="19" t="inlineStr">
        <is>
          <t>Mindset</t>
        </is>
      </c>
    </row>
    <row r="29">
      <c r="A29" s="2" t="n">
        <v>28</v>
      </c>
      <c r="B29" s="2" t="inlineStr">
        <is>
          <t>Digital Detox</t>
        </is>
      </c>
      <c r="C29" s="2" t="inlineStr">
        <is>
          <t>Mindset</t>
        </is>
      </c>
    </row>
    <row r="30">
      <c r="A30" s="19" t="n">
        <v>29</v>
      </c>
      <c r="B30" s="19" t="inlineStr">
        <is>
          <t>Meditation 10 min</t>
        </is>
      </c>
      <c r="C30" s="19" t="inlineStr">
        <is>
          <t>Mindset</t>
        </is>
      </c>
    </row>
    <row r="31">
      <c r="A31" s="2" t="n">
        <v>30</v>
      </c>
      <c r="B31" s="2" t="inlineStr">
        <is>
          <t>Portfolio Update</t>
        </is>
      </c>
      <c r="C31" s="2" t="inlineStr">
        <is>
          <t>Career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G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5" customWidth="1" min="3" max="3"/>
    <col width="12" customWidth="1" min="4" max="4"/>
    <col width="12" customWidth="1" min="5" max="5"/>
    <col width="12" customWidth="1" min="6" max="6"/>
    <col width="18" customWidth="1" min="7" max="7"/>
  </cols>
  <sheetData>
    <row r="1">
      <c r="A1" s="40" t="inlineStr">
        <is>
          <t>#</t>
        </is>
      </c>
      <c r="B1" s="40" t="inlineStr">
        <is>
          <t>Habit</t>
        </is>
      </c>
      <c r="C1" s="40" t="inlineStr">
        <is>
          <t>Category</t>
        </is>
      </c>
      <c r="D1" s="40" t="inlineStr">
        <is>
          <t>Progress %</t>
        </is>
      </c>
      <c r="E1" s="40" t="inlineStr">
        <is>
          <t>Longest Streak</t>
        </is>
      </c>
      <c r="F1" s="40" t="inlineStr">
        <is>
          <t>Current Streak</t>
        </is>
      </c>
      <c r="G1" s="40" t="inlineStr">
        <is>
          <t>30-Day Trend</t>
        </is>
      </c>
    </row>
    <row r="2">
      <c r="A2" s="19" t="n">
        <v>1</v>
      </c>
      <c r="B2" s="19">
        <f>Tracker!B3</f>
        <v/>
      </c>
      <c r="C2" s="19">
        <f>Tracker!C3</f>
        <v/>
      </c>
      <c r="D2" s="23">
        <f>Tracker!AI3</f>
        <v/>
      </c>
      <c r="E2" s="19">
        <f>Tracker!AJ3</f>
        <v/>
      </c>
      <c r="F2" s="19">
        <f>Tracker!AK3</f>
        <v/>
      </c>
      <c r="G2" s="19">
        <f>IF(Helper!$AA$2=0,"",SPARKLINE(ARRAYFORMULA(N(Tracker!D3:INDEX(Tracker!D3:AH3,1,Helper!$AA$2))),{"charttype","column";"max",1;"color1","#6BBF77";"empty","ignore"}))</f>
        <v/>
      </c>
    </row>
    <row r="3">
      <c r="A3" s="2" t="n">
        <v>2</v>
      </c>
      <c r="B3" s="2">
        <f>Tracker!B4</f>
        <v/>
      </c>
      <c r="C3" s="2">
        <f>Tracker!C4</f>
        <v/>
      </c>
      <c r="D3" s="38">
        <f>Tracker!AI4</f>
        <v/>
      </c>
      <c r="E3" s="2">
        <f>Tracker!AJ4</f>
        <v/>
      </c>
      <c r="F3" s="2">
        <f>Tracker!AK4</f>
        <v/>
      </c>
      <c r="G3" s="2">
        <f>IF(Helper!$AA$2=0,"",SPARKLINE(ARRAYFORMULA(N(Tracker!D4:INDEX(Tracker!D4:AH4,1,Helper!$AA$2))),{"charttype","column";"max",1;"color1","#6BBF77";"empty","ignore"}))</f>
        <v/>
      </c>
    </row>
    <row r="4">
      <c r="A4" s="19" t="n">
        <v>3</v>
      </c>
      <c r="B4" s="19">
        <f>Tracker!B5</f>
        <v/>
      </c>
      <c r="C4" s="19">
        <f>Tracker!C5</f>
        <v/>
      </c>
      <c r="D4" s="23">
        <f>Tracker!AI5</f>
        <v/>
      </c>
      <c r="E4" s="19">
        <f>Tracker!AJ5</f>
        <v/>
      </c>
      <c r="F4" s="19">
        <f>Tracker!AK5</f>
        <v/>
      </c>
      <c r="G4" s="19">
        <f>IF(Helper!$AA$2=0,"",SPARKLINE(ARRAYFORMULA(N(Tracker!D5:INDEX(Tracker!D5:AH5,1,Helper!$AA$2))),{"charttype","column";"max",1;"color1","#6BBF77";"empty","ignore"}))</f>
        <v/>
      </c>
    </row>
    <row r="5">
      <c r="A5" s="2" t="n">
        <v>4</v>
      </c>
      <c r="B5" s="2">
        <f>Tracker!B6</f>
        <v/>
      </c>
      <c r="C5" s="2">
        <f>Tracker!C6</f>
        <v/>
      </c>
      <c r="D5" s="38">
        <f>Tracker!AI6</f>
        <v/>
      </c>
      <c r="E5" s="2">
        <f>Tracker!AJ6</f>
        <v/>
      </c>
      <c r="F5" s="2">
        <f>Tracker!AK6</f>
        <v/>
      </c>
      <c r="G5" s="2">
        <f>IF(Helper!$AA$2=0,"",SPARKLINE(ARRAYFORMULA(N(Tracker!D6:INDEX(Tracker!D6:AH6,1,Helper!$AA$2))),{"charttype","column";"max",1;"color1","#6BBF77";"empty","ignore"}))</f>
        <v/>
      </c>
    </row>
    <row r="6">
      <c r="A6" s="19" t="n">
        <v>5</v>
      </c>
      <c r="B6" s="19">
        <f>Tracker!B7</f>
        <v/>
      </c>
      <c r="C6" s="19">
        <f>Tracker!C7</f>
        <v/>
      </c>
      <c r="D6" s="23">
        <f>Tracker!AI7</f>
        <v/>
      </c>
      <c r="E6" s="19">
        <f>Tracker!AJ7</f>
        <v/>
      </c>
      <c r="F6" s="19">
        <f>Tracker!AK7</f>
        <v/>
      </c>
      <c r="G6" s="19">
        <f>IF(Helper!$AA$2=0,"",SPARKLINE(ARRAYFORMULA(N(Tracker!D7:INDEX(Tracker!D7:AH7,1,Helper!$AA$2))),{"charttype","column";"max",1;"color1","#6BBF77";"empty","ignore"}))</f>
        <v/>
      </c>
    </row>
    <row r="7">
      <c r="A7" s="2" t="n">
        <v>6</v>
      </c>
      <c r="B7" s="2">
        <f>Tracker!B8</f>
        <v/>
      </c>
      <c r="C7" s="2">
        <f>Tracker!C8</f>
        <v/>
      </c>
      <c r="D7" s="38">
        <f>Tracker!AI8</f>
        <v/>
      </c>
      <c r="E7" s="2">
        <f>Tracker!AJ8</f>
        <v/>
      </c>
      <c r="F7" s="2">
        <f>Tracker!AK8</f>
        <v/>
      </c>
      <c r="G7" s="2">
        <f>IF(Helper!$AA$2=0,"",SPARKLINE(ARRAYFORMULA(N(Tracker!D8:INDEX(Tracker!D8:AH8,1,Helper!$AA$2))),{"charttype","column";"max",1;"color1","#6BBF77";"empty","ignore"}))</f>
        <v/>
      </c>
    </row>
    <row r="8">
      <c r="A8" s="19" t="n">
        <v>7</v>
      </c>
      <c r="B8" s="19">
        <f>Tracker!B9</f>
        <v/>
      </c>
      <c r="C8" s="19">
        <f>Tracker!C9</f>
        <v/>
      </c>
      <c r="D8" s="23">
        <f>Tracker!AI9</f>
        <v/>
      </c>
      <c r="E8" s="19">
        <f>Tracker!AJ9</f>
        <v/>
      </c>
      <c r="F8" s="19">
        <f>Tracker!AK9</f>
        <v/>
      </c>
      <c r="G8" s="19">
        <f>IF(Helper!$AA$2=0,"",SPARKLINE(ARRAYFORMULA(N(Tracker!D9:INDEX(Tracker!D9:AH9,1,Helper!$AA$2))),{"charttype","column";"max",1;"color1","#6BBF77";"empty","ignore"}))</f>
        <v/>
      </c>
    </row>
    <row r="9">
      <c r="A9" s="2" t="n">
        <v>8</v>
      </c>
      <c r="B9" s="2">
        <f>Tracker!B10</f>
        <v/>
      </c>
      <c r="C9" s="2">
        <f>Tracker!C10</f>
        <v/>
      </c>
      <c r="D9" s="38">
        <f>Tracker!AI10</f>
        <v/>
      </c>
      <c r="E9" s="2">
        <f>Tracker!AJ10</f>
        <v/>
      </c>
      <c r="F9" s="2">
        <f>Tracker!AK10</f>
        <v/>
      </c>
      <c r="G9" s="2">
        <f>IF(Helper!$AA$2=0,"",SPARKLINE(ARRAYFORMULA(N(Tracker!D10:INDEX(Tracker!D10:AH10,1,Helper!$AA$2))),{"charttype","column";"max",1;"color1","#6BBF77";"empty","ignore"}))</f>
        <v/>
      </c>
    </row>
    <row r="10">
      <c r="A10" s="19" t="n">
        <v>9</v>
      </c>
      <c r="B10" s="19">
        <f>Tracker!B11</f>
        <v/>
      </c>
      <c r="C10" s="19">
        <f>Tracker!C11</f>
        <v/>
      </c>
      <c r="D10" s="23">
        <f>Tracker!AI11</f>
        <v/>
      </c>
      <c r="E10" s="19">
        <f>Tracker!AJ11</f>
        <v/>
      </c>
      <c r="F10" s="19">
        <f>Tracker!AK11</f>
        <v/>
      </c>
      <c r="G10" s="19">
        <f>IF(Helper!$AA$2=0,"",SPARKLINE(ARRAYFORMULA(N(Tracker!D11:INDEX(Tracker!D11:AH11,1,Helper!$AA$2))),{"charttype","column";"max",1;"color1","#6BBF77";"empty","ignore"}))</f>
        <v/>
      </c>
    </row>
    <row r="11">
      <c r="A11" s="2" t="n">
        <v>10</v>
      </c>
      <c r="B11" s="2">
        <f>Tracker!B12</f>
        <v/>
      </c>
      <c r="C11" s="2">
        <f>Tracker!C12</f>
        <v/>
      </c>
      <c r="D11" s="38">
        <f>Tracker!AI12</f>
        <v/>
      </c>
      <c r="E11" s="2">
        <f>Tracker!AJ12</f>
        <v/>
      </c>
      <c r="F11" s="2">
        <f>Tracker!AK12</f>
        <v/>
      </c>
      <c r="G11" s="2">
        <f>IF(Helper!$AA$2=0,"",SPARKLINE(ARRAYFORMULA(N(Tracker!D12:INDEX(Tracker!D12:AH12,1,Helper!$AA$2))),{"charttype","column";"max",1;"color1","#6BBF77";"empty","ignore"}))</f>
        <v/>
      </c>
    </row>
    <row r="12">
      <c r="A12" s="19" t="n">
        <v>11</v>
      </c>
      <c r="B12" s="19">
        <f>Tracker!B13</f>
        <v/>
      </c>
      <c r="C12" s="19">
        <f>Tracker!C13</f>
        <v/>
      </c>
      <c r="D12" s="23">
        <f>Tracker!AI13</f>
        <v/>
      </c>
      <c r="E12" s="19">
        <f>Tracker!AJ13</f>
        <v/>
      </c>
      <c r="F12" s="19">
        <f>Tracker!AK13</f>
        <v/>
      </c>
      <c r="G12" s="19">
        <f>IF(Helper!$AA$2=0,"",SPARKLINE(ARRAYFORMULA(N(Tracker!D13:INDEX(Tracker!D13:AH13,1,Helper!$AA$2))),{"charttype","column";"max",1;"color1","#6BBF77";"empty","ignore"}))</f>
        <v/>
      </c>
    </row>
    <row r="13">
      <c r="A13" s="2" t="n">
        <v>12</v>
      </c>
      <c r="B13" s="2">
        <f>Tracker!B14</f>
        <v/>
      </c>
      <c r="C13" s="2">
        <f>Tracker!C14</f>
        <v/>
      </c>
      <c r="D13" s="38">
        <f>Tracker!AI14</f>
        <v/>
      </c>
      <c r="E13" s="2">
        <f>Tracker!AJ14</f>
        <v/>
      </c>
      <c r="F13" s="2">
        <f>Tracker!AK14</f>
        <v/>
      </c>
      <c r="G13" s="2">
        <f>IF(Helper!$AA$2=0,"",SPARKLINE(ARRAYFORMULA(N(Tracker!D14:INDEX(Tracker!D14:AH14,1,Helper!$AA$2))),{"charttype","column";"max",1;"color1","#6BBF77";"empty","ignore"}))</f>
        <v/>
      </c>
    </row>
    <row r="14">
      <c r="A14" s="19" t="n">
        <v>13</v>
      </c>
      <c r="B14" s="19">
        <f>Tracker!B15</f>
        <v/>
      </c>
      <c r="C14" s="19">
        <f>Tracker!C15</f>
        <v/>
      </c>
      <c r="D14" s="23">
        <f>Tracker!AI15</f>
        <v/>
      </c>
      <c r="E14" s="19">
        <f>Tracker!AJ15</f>
        <v/>
      </c>
      <c r="F14" s="19">
        <f>Tracker!AK15</f>
        <v/>
      </c>
      <c r="G14" s="19">
        <f>IF(Helper!$AA$2=0,"",SPARKLINE(ARRAYFORMULA(N(Tracker!D15:INDEX(Tracker!D15:AH15,1,Helper!$AA$2))),{"charttype","column";"max",1;"color1","#6BBF77";"empty","ignore"}))</f>
        <v/>
      </c>
    </row>
    <row r="15">
      <c r="A15" s="2" t="n">
        <v>14</v>
      </c>
      <c r="B15" s="2">
        <f>Tracker!B16</f>
        <v/>
      </c>
      <c r="C15" s="2">
        <f>Tracker!C16</f>
        <v/>
      </c>
      <c r="D15" s="38">
        <f>Tracker!AI16</f>
        <v/>
      </c>
      <c r="E15" s="2">
        <f>Tracker!AJ16</f>
        <v/>
      </c>
      <c r="F15" s="2">
        <f>Tracker!AK16</f>
        <v/>
      </c>
      <c r="G15" s="2">
        <f>IF(Helper!$AA$2=0,"",SPARKLINE(ARRAYFORMULA(N(Tracker!D16:INDEX(Tracker!D16:AH16,1,Helper!$AA$2))),{"charttype","column";"max",1;"color1","#6BBF77";"empty","ignore"}))</f>
        <v/>
      </c>
    </row>
    <row r="16">
      <c r="A16" s="19" t="n">
        <v>15</v>
      </c>
      <c r="B16" s="19">
        <f>Tracker!B17</f>
        <v/>
      </c>
      <c r="C16" s="19">
        <f>Tracker!C17</f>
        <v/>
      </c>
      <c r="D16" s="23">
        <f>Tracker!AI17</f>
        <v/>
      </c>
      <c r="E16" s="19">
        <f>Tracker!AJ17</f>
        <v/>
      </c>
      <c r="F16" s="19">
        <f>Tracker!AK17</f>
        <v/>
      </c>
      <c r="G16" s="19">
        <f>IF(Helper!$AA$2=0,"",SPARKLINE(ARRAYFORMULA(N(Tracker!D17:INDEX(Tracker!D17:AH17,1,Helper!$AA$2))),{"charttype","column";"max",1;"color1","#6BBF77";"empty","ignore"}))</f>
        <v/>
      </c>
    </row>
    <row r="17">
      <c r="A17" s="2" t="n">
        <v>16</v>
      </c>
      <c r="B17" s="2">
        <f>Tracker!B18</f>
        <v/>
      </c>
      <c r="C17" s="2">
        <f>Tracker!C18</f>
        <v/>
      </c>
      <c r="D17" s="38">
        <f>Tracker!AI18</f>
        <v/>
      </c>
      <c r="E17" s="2">
        <f>Tracker!AJ18</f>
        <v/>
      </c>
      <c r="F17" s="2">
        <f>Tracker!AK18</f>
        <v/>
      </c>
      <c r="G17" s="2">
        <f>IF(Helper!$AA$2=0,"",SPARKLINE(ARRAYFORMULA(N(Tracker!D18:INDEX(Tracker!D18:AH18,1,Helper!$AA$2))),{"charttype","column";"max",1;"color1","#6BBF77";"empty","ignore"}))</f>
        <v/>
      </c>
    </row>
    <row r="18">
      <c r="A18" s="19" t="n">
        <v>17</v>
      </c>
      <c r="B18" s="19">
        <f>Tracker!B19</f>
        <v/>
      </c>
      <c r="C18" s="19">
        <f>Tracker!C19</f>
        <v/>
      </c>
      <c r="D18" s="23">
        <f>Tracker!AI19</f>
        <v/>
      </c>
      <c r="E18" s="19">
        <f>Tracker!AJ19</f>
        <v/>
      </c>
      <c r="F18" s="19">
        <f>Tracker!AK19</f>
        <v/>
      </c>
      <c r="G18" s="19">
        <f>IF(Helper!$AA$2=0,"",SPARKLINE(ARRAYFORMULA(N(Tracker!D19:INDEX(Tracker!D19:AH19,1,Helper!$AA$2))),{"charttype","column";"max",1;"color1","#6BBF77";"empty","ignore"}))</f>
        <v/>
      </c>
    </row>
    <row r="19">
      <c r="A19" s="2" t="n">
        <v>18</v>
      </c>
      <c r="B19" s="2">
        <f>Tracker!B20</f>
        <v/>
      </c>
      <c r="C19" s="2">
        <f>Tracker!C20</f>
        <v/>
      </c>
      <c r="D19" s="38">
        <f>Tracker!AI20</f>
        <v/>
      </c>
      <c r="E19" s="2">
        <f>Tracker!AJ20</f>
        <v/>
      </c>
      <c r="F19" s="2">
        <f>Tracker!AK20</f>
        <v/>
      </c>
      <c r="G19" s="2">
        <f>IF(Helper!$AA$2=0,"",SPARKLINE(ARRAYFORMULA(N(Tracker!D20:INDEX(Tracker!D20:AH20,1,Helper!$AA$2))),{"charttype","column";"max",1;"color1","#6BBF77";"empty","ignore"}))</f>
        <v/>
      </c>
    </row>
    <row r="20">
      <c r="A20" s="19" t="n">
        <v>19</v>
      </c>
      <c r="B20" s="19">
        <f>Tracker!B21</f>
        <v/>
      </c>
      <c r="C20" s="19">
        <f>Tracker!C21</f>
        <v/>
      </c>
      <c r="D20" s="23">
        <f>Tracker!AI21</f>
        <v/>
      </c>
      <c r="E20" s="19">
        <f>Tracker!AJ21</f>
        <v/>
      </c>
      <c r="F20" s="19">
        <f>Tracker!AK21</f>
        <v/>
      </c>
      <c r="G20" s="19">
        <f>IF(Helper!$AA$2=0,"",SPARKLINE(ARRAYFORMULA(N(Tracker!D21:INDEX(Tracker!D21:AH21,1,Helper!$AA$2))),{"charttype","column";"max",1;"color1","#6BBF77";"empty","ignore"}))</f>
        <v/>
      </c>
    </row>
    <row r="21">
      <c r="A21" s="2" t="n">
        <v>20</v>
      </c>
      <c r="B21" s="2">
        <f>Tracker!B22</f>
        <v/>
      </c>
      <c r="C21" s="2">
        <f>Tracker!C22</f>
        <v/>
      </c>
      <c r="D21" s="38">
        <f>Tracker!AI22</f>
        <v/>
      </c>
      <c r="E21" s="2">
        <f>Tracker!AJ22</f>
        <v/>
      </c>
      <c r="F21" s="2">
        <f>Tracker!AK22</f>
        <v/>
      </c>
      <c r="G21" s="2">
        <f>IF(Helper!$AA$2=0,"",SPARKLINE(ARRAYFORMULA(N(Tracker!D22:INDEX(Tracker!D22:AH22,1,Helper!$AA$2))),{"charttype","column";"max",1;"color1","#6BBF77";"empty","ignore"}))</f>
        <v/>
      </c>
    </row>
    <row r="22">
      <c r="A22" s="19" t="n">
        <v>21</v>
      </c>
      <c r="B22" s="19">
        <f>Tracker!B23</f>
        <v/>
      </c>
      <c r="C22" s="19">
        <f>Tracker!C23</f>
        <v/>
      </c>
      <c r="D22" s="23">
        <f>Tracker!AI23</f>
        <v/>
      </c>
      <c r="E22" s="19">
        <f>Tracker!AJ23</f>
        <v/>
      </c>
      <c r="F22" s="19">
        <f>Tracker!AK23</f>
        <v/>
      </c>
      <c r="G22" s="19">
        <f>IF(Helper!$AA$2=0,"",SPARKLINE(ARRAYFORMULA(N(Tracker!D23:INDEX(Tracker!D23:AH23,1,Helper!$AA$2))),{"charttype","column";"max",1;"color1","#6BBF77";"empty","ignore"}))</f>
        <v/>
      </c>
    </row>
    <row r="23">
      <c r="A23" s="2" t="n">
        <v>22</v>
      </c>
      <c r="B23" s="2">
        <f>Tracker!B24</f>
        <v/>
      </c>
      <c r="C23" s="2">
        <f>Tracker!C24</f>
        <v/>
      </c>
      <c r="D23" s="38">
        <f>Tracker!AI24</f>
        <v/>
      </c>
      <c r="E23" s="2">
        <f>Tracker!AJ24</f>
        <v/>
      </c>
      <c r="F23" s="2">
        <f>Tracker!AK24</f>
        <v/>
      </c>
      <c r="G23" s="2">
        <f>IF(Helper!$AA$2=0,"",SPARKLINE(ARRAYFORMULA(N(Tracker!D24:INDEX(Tracker!D24:AH24,1,Helper!$AA$2))),{"charttype","column";"max",1;"color1","#6BBF77";"empty","ignore"}))</f>
        <v/>
      </c>
    </row>
    <row r="24">
      <c r="A24" s="19" t="n">
        <v>23</v>
      </c>
      <c r="B24" s="19">
        <f>Tracker!B25</f>
        <v/>
      </c>
      <c r="C24" s="19">
        <f>Tracker!C25</f>
        <v/>
      </c>
      <c r="D24" s="23">
        <f>Tracker!AI25</f>
        <v/>
      </c>
      <c r="E24" s="19">
        <f>Tracker!AJ25</f>
        <v/>
      </c>
      <c r="F24" s="19">
        <f>Tracker!AK25</f>
        <v/>
      </c>
      <c r="G24" s="19">
        <f>IF(Helper!$AA$2=0,"",SPARKLINE(ARRAYFORMULA(N(Tracker!D25:INDEX(Tracker!D25:AH25,1,Helper!$AA$2))),{"charttype","column";"max",1;"color1","#6BBF77";"empty","ignore"}))</f>
        <v/>
      </c>
    </row>
    <row r="25">
      <c r="A25" s="2" t="n">
        <v>24</v>
      </c>
      <c r="B25" s="2">
        <f>Tracker!B26</f>
        <v/>
      </c>
      <c r="C25" s="2">
        <f>Tracker!C26</f>
        <v/>
      </c>
      <c r="D25" s="38">
        <f>Tracker!AI26</f>
        <v/>
      </c>
      <c r="E25" s="2">
        <f>Tracker!AJ26</f>
        <v/>
      </c>
      <c r="F25" s="2">
        <f>Tracker!AK26</f>
        <v/>
      </c>
      <c r="G25" s="2">
        <f>IF(Helper!$AA$2=0,"",SPARKLINE(ARRAYFORMULA(N(Tracker!D26:INDEX(Tracker!D26:AH26,1,Helper!$AA$2))),{"charttype","column";"max",1;"color1","#6BBF77";"empty","ignore"}))</f>
        <v/>
      </c>
    </row>
    <row r="26">
      <c r="A26" s="19" t="n">
        <v>25</v>
      </c>
      <c r="B26" s="19">
        <f>Tracker!B27</f>
        <v/>
      </c>
      <c r="C26" s="19">
        <f>Tracker!C27</f>
        <v/>
      </c>
      <c r="D26" s="23">
        <f>Tracker!AI27</f>
        <v/>
      </c>
      <c r="E26" s="19">
        <f>Tracker!AJ27</f>
        <v/>
      </c>
      <c r="F26" s="19">
        <f>Tracker!AK27</f>
        <v/>
      </c>
      <c r="G26" s="19">
        <f>IF(Helper!$AA$2=0,"",SPARKLINE(ARRAYFORMULA(N(Tracker!D27:INDEX(Tracker!D27:AH27,1,Helper!$AA$2))),{"charttype","column";"max",1;"color1","#6BBF77";"empty","ignore"}))</f>
        <v/>
      </c>
    </row>
    <row r="27">
      <c r="A27" s="2" t="n">
        <v>26</v>
      </c>
      <c r="B27" s="2">
        <f>Tracker!B28</f>
        <v/>
      </c>
      <c r="C27" s="2">
        <f>Tracker!C28</f>
        <v/>
      </c>
      <c r="D27" s="38">
        <f>Tracker!AI28</f>
        <v/>
      </c>
      <c r="E27" s="2">
        <f>Tracker!AJ28</f>
        <v/>
      </c>
      <c r="F27" s="2">
        <f>Tracker!AK28</f>
        <v/>
      </c>
      <c r="G27" s="2">
        <f>IF(Helper!$AA$2=0,"",SPARKLINE(ARRAYFORMULA(N(Tracker!D28:INDEX(Tracker!D28:AH28,1,Helper!$AA$2))),{"charttype","column";"max",1;"color1","#6BBF77";"empty","ignore"}))</f>
        <v/>
      </c>
    </row>
    <row r="28">
      <c r="A28" s="19" t="n">
        <v>27</v>
      </c>
      <c r="B28" s="19">
        <f>Tracker!B29</f>
        <v/>
      </c>
      <c r="C28" s="19">
        <f>Tracker!C29</f>
        <v/>
      </c>
      <c r="D28" s="23">
        <f>Tracker!AI29</f>
        <v/>
      </c>
      <c r="E28" s="19">
        <f>Tracker!AJ29</f>
        <v/>
      </c>
      <c r="F28" s="19">
        <f>Tracker!AK29</f>
        <v/>
      </c>
      <c r="G28" s="19">
        <f>IF(Helper!$AA$2=0,"",SPARKLINE(ARRAYFORMULA(N(Tracker!D29:INDEX(Tracker!D29:AH29,1,Helper!$AA$2))),{"charttype","column";"max",1;"color1","#6BBF77";"empty","ignore"}))</f>
        <v/>
      </c>
    </row>
    <row r="29">
      <c r="A29" s="2" t="n">
        <v>28</v>
      </c>
      <c r="B29" s="2">
        <f>Tracker!B30</f>
        <v/>
      </c>
      <c r="C29" s="2">
        <f>Tracker!C30</f>
        <v/>
      </c>
      <c r="D29" s="38">
        <f>Tracker!AI30</f>
        <v/>
      </c>
      <c r="E29" s="2">
        <f>Tracker!AJ30</f>
        <v/>
      </c>
      <c r="F29" s="2">
        <f>Tracker!AK30</f>
        <v/>
      </c>
      <c r="G29" s="2">
        <f>IF(Helper!$AA$2=0,"",SPARKLINE(ARRAYFORMULA(N(Tracker!D30:INDEX(Tracker!D30:AH30,1,Helper!$AA$2))),{"charttype","column";"max",1;"color1","#6BBF77";"empty","ignore"}))</f>
        <v/>
      </c>
    </row>
    <row r="30">
      <c r="A30" s="19" t="n">
        <v>29</v>
      </c>
      <c r="B30" s="19">
        <f>Tracker!B31</f>
        <v/>
      </c>
      <c r="C30" s="19">
        <f>Tracker!C31</f>
        <v/>
      </c>
      <c r="D30" s="23">
        <f>Tracker!AI31</f>
        <v/>
      </c>
      <c r="E30" s="19">
        <f>Tracker!AJ31</f>
        <v/>
      </c>
      <c r="F30" s="19">
        <f>Tracker!AK31</f>
        <v/>
      </c>
      <c r="G30" s="19">
        <f>IF(Helper!$AA$2=0,"",SPARKLINE(ARRAYFORMULA(N(Tracker!D31:INDEX(Tracker!D31:AH31,1,Helper!$AA$2))),{"charttype","column";"max",1;"color1","#6BBF77";"empty","ignore"}))</f>
        <v/>
      </c>
    </row>
    <row r="31">
      <c r="A31" s="2" t="n">
        <v>30</v>
      </c>
      <c r="B31" s="2">
        <f>Tracker!B32</f>
        <v/>
      </c>
      <c r="C31" s="2">
        <f>Tracker!C32</f>
        <v/>
      </c>
      <c r="D31" s="38">
        <f>Tracker!AI32</f>
        <v/>
      </c>
      <c r="E31" s="2">
        <f>Tracker!AJ32</f>
        <v/>
      </c>
      <c r="F31" s="2">
        <f>Tracker!AK32</f>
        <v/>
      </c>
      <c r="G31" s="2">
        <f>IF(Helper!$AA$2=0,"",SPARKLINE(ARRAYFORMULA(N(Tracker!D32:INDEX(Tracker!D32:AH32,1,Helper!$AA$2))),{"charttype","column";"max",1;"color1","#6BBF77";"empty","ignore"}))</f>
        <v/>
      </c>
    </row>
  </sheetData>
  <conditionalFormatting sqref="D2:D31">
    <cfRule type="cellIs" priority="1" operator="greaterThanOrEqual" dxfId="6">
      <formula>0.8</formula>
    </cfRule>
    <cfRule type="cellIs" priority="2" operator="between" dxfId="7">
      <formula>0.4</formula>
      <formula>0.8</formula>
    </cfRule>
    <cfRule type="cellIs" priority="3" operator="lessThan" dxfId="8">
      <formula>0.4</formula>
    </cfRule>
  </conditionalFormatting>
  <conditionalFormatting sqref="F2:F31">
    <cfRule type="cellIs" priority="4" operator="greaterThanOrEqual" dxfId="9">
      <formula>7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B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41" t="inlineStr">
        <is>
          <t>Day</t>
        </is>
      </c>
      <c r="B1" s="41" t="inlineStr">
        <is>
          <t>Date</t>
        </is>
      </c>
      <c r="C1" s="41" t="inlineStr">
        <is>
          <t>Daily Completion %</t>
        </is>
      </c>
      <c r="D1" s="41" t="inlineStr">
        <is>
          <t>7-Day Rolling Avg</t>
        </is>
      </c>
      <c r="E1" s="41" t="inlineStr">
        <is>
          <t>Completed Count</t>
        </is>
      </c>
      <c r="F1" s="41" t="inlineStr">
        <is>
          <t>Habit Count</t>
        </is>
      </c>
      <c r="G1" s="41" t="inlineStr">
        <is>
          <t>Habit</t>
        </is>
      </c>
      <c r="H1" s="41" t="inlineStr">
        <is>
          <t>Completion %</t>
        </is>
      </c>
      <c r="I1" s="41" t="inlineStr">
        <is>
          <t>Category</t>
        </is>
      </c>
      <c r="J1" s="41" t="inlineStr">
        <is>
          <t>Current Streak</t>
        </is>
      </c>
      <c r="K1" s="41" t="inlineStr">
        <is>
          <t>Longest Streak</t>
        </is>
      </c>
      <c r="L1" s="41" t="inlineStr">
        <is>
          <t>Previous Month %</t>
        </is>
      </c>
      <c r="M1" s="41" t="inlineStr">
        <is>
          <t>Improvement</t>
        </is>
      </c>
      <c r="N1" s="41" t="inlineStr">
        <is>
          <t>Top N</t>
        </is>
      </c>
      <c r="O1" s="41" t="inlineStr">
        <is>
          <t>Top Habit</t>
        </is>
      </c>
      <c r="P1" s="41" t="inlineStr">
        <is>
          <t>Top Completion %</t>
        </is>
      </c>
      <c r="Q1" s="41" t="inlineStr">
        <is>
          <t>Label</t>
        </is>
      </c>
      <c r="R1" s="41" t="inlineStr">
        <is>
          <t>Streak Habit</t>
        </is>
      </c>
      <c r="S1" s="41" t="inlineStr">
        <is>
          <t>Longest</t>
        </is>
      </c>
      <c r="T1" s="41" t="inlineStr">
        <is>
          <t>Current</t>
        </is>
      </c>
      <c r="U1" s="41" t="inlineStr">
        <is>
          <t>Category</t>
        </is>
      </c>
      <c r="V1" s="41" t="inlineStr">
        <is>
          <t>Avg Completion %</t>
        </is>
      </c>
      <c r="W1" s="41" t="inlineStr">
        <is>
          <t>Progress Slice</t>
        </is>
      </c>
      <c r="X1" s="41" t="inlineStr">
        <is>
          <t>Value</t>
        </is>
      </c>
      <c r="Y1" s="41" t="inlineStr">
        <is>
          <t>Previous Month Start</t>
        </is>
      </c>
      <c r="Z1" s="41" t="inlineStr">
        <is>
          <t>Heatmap Start</t>
        </is>
      </c>
      <c r="AA1" s="41" t="inlineStr">
        <is>
          <t>Active Days</t>
        </is>
      </c>
      <c r="AB1" s="41" t="inlineStr">
        <is>
          <t>Days In Month</t>
        </is>
      </c>
    </row>
    <row r="2">
      <c r="A2" s="2" t="n">
        <v>1</v>
      </c>
      <c r="B2" s="42">
        <f>IF(A2&gt;$AB$2,"",DATE(YEAR(Tracker!$D$1),MONTH(Tracker!$D$1),A2))</f>
        <v/>
      </c>
      <c r="C2" s="38">
        <f>IF(B2="","",COUNTIF(INDEX(Tracker!$D$3:$AH$32,0,A2),TRUE)/MAX(1,COUNTA(Tracker!$B$3:$B$32)))</f>
        <v/>
      </c>
      <c r="D2" s="38">
        <f>IF(C2="","",AVERAGE(C2:C2))</f>
        <v/>
      </c>
      <c r="E2" s="2">
        <f>IF(B2="","",COUNTIF(INDEX(Tracker!$D$3:$AH$32,0,A2),TRUE))</f>
        <v/>
      </c>
      <c r="F2" s="2">
        <f>COUNTA(Tracker!$B$3:$B$32)</f>
        <v/>
      </c>
      <c r="G2" s="2">
        <f>Summary!B2</f>
        <v/>
      </c>
      <c r="H2" s="38">
        <f>Summary!D2</f>
        <v/>
      </c>
      <c r="I2" s="2">
        <f>Summary!C2</f>
        <v/>
      </c>
      <c r="J2" s="2">
        <f>Summary!F2</f>
        <v/>
      </c>
      <c r="K2" s="2">
        <f>Summary!E2</f>
        <v/>
      </c>
      <c r="L2" s="38">
        <f>IFERROR(INDEX(FILTER(History!$D$2:$D,History!$A$2:$A=$Y$2,History!$B$2:$B=G2),1),"")</f>
        <v/>
      </c>
      <c r="M2" s="43">
        <f>IF(L2="","",H2-L2)</f>
        <v/>
      </c>
      <c r="N2" s="2">
        <f>Dashboard!$Q$11</f>
        <v/>
      </c>
      <c r="O2" s="2">
        <f>IF(ROWS($O$2:O2)&gt;$N$2,"",INDEX($G$2:$G$31,MATCH(LARGE($H$2:$H$31,ROWS($O$2:O2)),$H$2:$H$31,0)))</f>
        <v/>
      </c>
      <c r="P2" s="38">
        <f>IF(O2="","",LARGE($H$2:$H$31,ROWS($P$2:P2)))</f>
        <v/>
      </c>
      <c r="Q2" s="2">
        <f>IF(P2="","",TEXT(P2,"0%"))</f>
        <v/>
      </c>
      <c r="R2" s="2">
        <f>IFERROR(INDEX($G$2:$G$31,MATCH(LARGE($J$2:$J$31,ROWS($R$2:R2)),$J$2:$J$31,0)),"")</f>
        <v/>
      </c>
      <c r="S2" s="2">
        <f>IF(R2="","",INDEX($K$2:$K$31,MATCH(R2,$G$2:$G$31,0)))</f>
        <v/>
      </c>
      <c r="T2" s="2">
        <f>IF(R2="","",LARGE($J$2:$J$31,ROWS($T$2:T2)))</f>
        <v/>
      </c>
      <c r="U2" s="2">
        <f>IFERROR(INDEX(SORT(UNIQUE(FILTER(Habits!$C$2:$C$31,Habits!$C$2:$C$31&lt;&gt;""))),ROWS($U$2:U2)),"")</f>
        <v/>
      </c>
      <c r="V2" s="38">
        <f>IF(U2="","",AVERAGEIF($I$2:$I$31,U2,$H$2:$H$31))</f>
        <v/>
      </c>
      <c r="W2" s="2" t="inlineStr">
        <is>
          <t>Completed</t>
        </is>
      </c>
      <c r="X2" s="38">
        <f>IFERROR(AVERAGE(H2:H31),0)</f>
        <v/>
      </c>
      <c r="Y2" s="2">
        <f>EOMONTH(Tracker!$D$1,-1)+1</f>
        <v/>
      </c>
      <c r="Z2" s="2">
        <f>DATE(YEAR(Tracker!$D$1),MONTH(Tracker!$D$1),1)-WEEKDAY(DATE(YEAR(Tracker!$D$1),MONTH(Tracker!$D$1),1),2)+1</f>
        <v/>
      </c>
      <c r="AA2" s="2">
        <f>IF(Tracker!$D$1="",0,IF(DATE(YEAR(TODAY()),MONTH(TODAY()),1)&lt;DATE(YEAR(Tracker!$D$1),MONTH(Tracker!$D$1),1),0,IF(DATE(YEAR(TODAY()),MONTH(TODAY()),1)=DATE(YEAR(Tracker!$D$1),MONTH(Tracker!$D$1),1),DAY(TODAY()),DAY(EOMONTH(Tracker!$D$1,0)))))</f>
        <v/>
      </c>
      <c r="AB2" s="2">
        <f>DAY(EOMONTH(Tracker!$D$1,0))</f>
        <v/>
      </c>
    </row>
    <row r="3">
      <c r="A3" s="2" t="n">
        <v>2</v>
      </c>
      <c r="B3" s="42">
        <f>IF(A3&gt;$AB$2,"",DATE(YEAR(Tracker!$D$1),MONTH(Tracker!$D$1),A3))</f>
        <v/>
      </c>
      <c r="C3" s="38">
        <f>IF(B3="","",COUNTIF(INDEX(Tracker!$D$3:$AH$32,0,A3),TRUE)/MAX(1,COUNTA(Tracker!$B$3:$B$32)))</f>
        <v/>
      </c>
      <c r="D3" s="38">
        <f>IF(C3="","",AVERAGE(C2:C3))</f>
        <v/>
      </c>
      <c r="E3" s="2">
        <f>IF(B3="","",COUNTIF(INDEX(Tracker!$D$3:$AH$32,0,A3),TRUE))</f>
        <v/>
      </c>
      <c r="F3" s="2">
        <f>COUNTA(Tracker!$B$3:$B$32)</f>
        <v/>
      </c>
      <c r="G3" s="2">
        <f>Summary!B3</f>
        <v/>
      </c>
      <c r="H3" s="38">
        <f>Summary!D3</f>
        <v/>
      </c>
      <c r="I3" s="2">
        <f>Summary!C3</f>
        <v/>
      </c>
      <c r="J3" s="2">
        <f>Summary!F3</f>
        <v/>
      </c>
      <c r="K3" s="2">
        <f>Summary!E3</f>
        <v/>
      </c>
      <c r="L3" s="38">
        <f>IFERROR(INDEX(FILTER(History!$D$2:$D,History!$A$2:$A=$Y$2,History!$B$2:$B=G3),1),"")</f>
        <v/>
      </c>
      <c r="M3" s="43">
        <f>IF(L3="","",H3-L3)</f>
        <v/>
      </c>
      <c r="N3" s="2" t="n"/>
      <c r="O3" s="2">
        <f>IF(ROWS($O$2:O3)&gt;$N$2,"",INDEX($G$2:$G$31,MATCH(LARGE($H$2:$H$31,ROWS($O$2:O3)),$H$2:$H$31,0)))</f>
        <v/>
      </c>
      <c r="P3" s="38">
        <f>IF(O3="","",LARGE($H$2:$H$31,ROWS($P$2:P3)))</f>
        <v/>
      </c>
      <c r="Q3" s="2">
        <f>IF(P3="","",TEXT(P3,"0%"))</f>
        <v/>
      </c>
      <c r="R3" s="2">
        <f>IFERROR(INDEX($G$2:$G$31,MATCH(LARGE($J$2:$J$31,ROWS($R$2:R3)),$J$2:$J$31,0)),"")</f>
        <v/>
      </c>
      <c r="S3" s="2">
        <f>IF(R3="","",INDEX($K$2:$K$31,MATCH(R3,$G$2:$G$31,0)))</f>
        <v/>
      </c>
      <c r="T3" s="2">
        <f>IF(R3="","",LARGE($J$2:$J$31,ROWS($T$2:T3)))</f>
        <v/>
      </c>
      <c r="U3" s="2">
        <f>IFERROR(INDEX(SORT(UNIQUE(FILTER(Habits!$C$2:$C$31,Habits!$C$2:$C$31&lt;&gt;""))),ROWS($U$2:U3)),"")</f>
        <v/>
      </c>
      <c r="V3" s="38">
        <f>IF(U3="","",AVERAGEIF($I$2:$I$31,U3,$H$2:$H$31))</f>
        <v/>
      </c>
      <c r="W3" s="2" t="inlineStr">
        <is>
          <t>Remaining</t>
        </is>
      </c>
      <c r="X3" s="38">
        <f>MAX(0,1-X2)</f>
        <v/>
      </c>
      <c r="Y3" s="2" t="n"/>
      <c r="Z3" s="2" t="n"/>
      <c r="AA3" s="2" t="n"/>
      <c r="AB3" s="2" t="n"/>
    </row>
    <row r="4">
      <c r="A4" s="2" t="n">
        <v>3</v>
      </c>
      <c r="B4" s="42">
        <f>IF(A4&gt;$AB$2,"",DATE(YEAR(Tracker!$D$1),MONTH(Tracker!$D$1),A4))</f>
        <v/>
      </c>
      <c r="C4" s="38">
        <f>IF(B4="","",COUNTIF(INDEX(Tracker!$D$3:$AH$32,0,A4),TRUE)/MAX(1,COUNTA(Tracker!$B$3:$B$32)))</f>
        <v/>
      </c>
      <c r="D4" s="38">
        <f>IF(C4="","",AVERAGE(C2:C4))</f>
        <v/>
      </c>
      <c r="E4" s="2">
        <f>IF(B4="","",COUNTIF(INDEX(Tracker!$D$3:$AH$32,0,A4),TRUE))</f>
        <v/>
      </c>
      <c r="F4" s="2">
        <f>COUNTA(Tracker!$B$3:$B$32)</f>
        <v/>
      </c>
      <c r="G4" s="2">
        <f>Summary!B4</f>
        <v/>
      </c>
      <c r="H4" s="38">
        <f>Summary!D4</f>
        <v/>
      </c>
      <c r="I4" s="2">
        <f>Summary!C4</f>
        <v/>
      </c>
      <c r="J4" s="2">
        <f>Summary!F4</f>
        <v/>
      </c>
      <c r="K4" s="2">
        <f>Summary!E4</f>
        <v/>
      </c>
      <c r="L4" s="38">
        <f>IFERROR(INDEX(FILTER(History!$D$2:$D,History!$A$2:$A=$Y$2,History!$B$2:$B=G4),1),"")</f>
        <v/>
      </c>
      <c r="M4" s="43">
        <f>IF(L4="","",H4-L4)</f>
        <v/>
      </c>
      <c r="N4" s="2" t="n"/>
      <c r="O4" s="2">
        <f>IF(ROWS($O$2:O4)&gt;$N$2,"",INDEX($G$2:$G$31,MATCH(LARGE($H$2:$H$31,ROWS($O$2:O4)),$H$2:$H$31,0)))</f>
        <v/>
      </c>
      <c r="P4" s="38">
        <f>IF(O4="","",LARGE($H$2:$H$31,ROWS($P$2:P4)))</f>
        <v/>
      </c>
      <c r="Q4" s="2">
        <f>IF(P4="","",TEXT(P4,"0%"))</f>
        <v/>
      </c>
      <c r="R4" s="2">
        <f>IFERROR(INDEX($G$2:$G$31,MATCH(LARGE($J$2:$J$31,ROWS($R$2:R4)),$J$2:$J$31,0)),"")</f>
        <v/>
      </c>
      <c r="S4" s="2">
        <f>IF(R4="","",INDEX($K$2:$K$31,MATCH(R4,$G$2:$G$31,0)))</f>
        <v/>
      </c>
      <c r="T4" s="2">
        <f>IF(R4="","",LARGE($J$2:$J$31,ROWS($T$2:T4)))</f>
        <v/>
      </c>
      <c r="U4" s="2">
        <f>IFERROR(INDEX(SORT(UNIQUE(FILTER(Habits!$C$2:$C$31,Habits!$C$2:$C$31&lt;&gt;""))),ROWS($U$2:U4)),"")</f>
        <v/>
      </c>
      <c r="V4" s="38">
        <f>IF(U4="","",AVERAGEIF($I$2:$I$31,U4,$H$2:$H$31))</f>
        <v/>
      </c>
      <c r="W4" s="2" t="n"/>
      <c r="X4" s="2" t="n"/>
      <c r="Y4" s="2" t="n"/>
      <c r="Z4" s="2" t="n"/>
      <c r="AA4" s="2" t="n"/>
      <c r="AB4" s="2" t="n"/>
    </row>
    <row r="5">
      <c r="A5" s="2" t="n">
        <v>4</v>
      </c>
      <c r="B5" s="42">
        <f>IF(A5&gt;$AB$2,"",DATE(YEAR(Tracker!$D$1),MONTH(Tracker!$D$1),A5))</f>
        <v/>
      </c>
      <c r="C5" s="38">
        <f>IF(B5="","",COUNTIF(INDEX(Tracker!$D$3:$AH$32,0,A5),TRUE)/MAX(1,COUNTA(Tracker!$B$3:$B$32)))</f>
        <v/>
      </c>
      <c r="D5" s="38">
        <f>IF(C5="","",AVERAGE(C2:C5))</f>
        <v/>
      </c>
      <c r="E5" s="2">
        <f>IF(B5="","",COUNTIF(INDEX(Tracker!$D$3:$AH$32,0,A5),TRUE))</f>
        <v/>
      </c>
      <c r="F5" s="2">
        <f>COUNTA(Tracker!$B$3:$B$32)</f>
        <v/>
      </c>
      <c r="G5" s="2">
        <f>Summary!B5</f>
        <v/>
      </c>
      <c r="H5" s="38">
        <f>Summary!D5</f>
        <v/>
      </c>
      <c r="I5" s="2">
        <f>Summary!C5</f>
        <v/>
      </c>
      <c r="J5" s="2">
        <f>Summary!F5</f>
        <v/>
      </c>
      <c r="K5" s="2">
        <f>Summary!E5</f>
        <v/>
      </c>
      <c r="L5" s="38">
        <f>IFERROR(INDEX(FILTER(History!$D$2:$D,History!$A$2:$A=$Y$2,History!$B$2:$B=G5),1),"")</f>
        <v/>
      </c>
      <c r="M5" s="43">
        <f>IF(L5="","",H5-L5)</f>
        <v/>
      </c>
      <c r="N5" s="2" t="n"/>
      <c r="O5" s="2">
        <f>IF(ROWS($O$2:O5)&gt;$N$2,"",INDEX($G$2:$G$31,MATCH(LARGE($H$2:$H$31,ROWS($O$2:O5)),$H$2:$H$31,0)))</f>
        <v/>
      </c>
      <c r="P5" s="38">
        <f>IF(O5="","",LARGE($H$2:$H$31,ROWS($P$2:P5)))</f>
        <v/>
      </c>
      <c r="Q5" s="2">
        <f>IF(P5="","",TEXT(P5,"0%"))</f>
        <v/>
      </c>
      <c r="R5" s="2">
        <f>IFERROR(INDEX($G$2:$G$31,MATCH(LARGE($J$2:$J$31,ROWS($R$2:R5)),$J$2:$J$31,0)),"")</f>
        <v/>
      </c>
      <c r="S5" s="2">
        <f>IF(R5="","",INDEX($K$2:$K$31,MATCH(R5,$G$2:$G$31,0)))</f>
        <v/>
      </c>
      <c r="T5" s="2">
        <f>IF(R5="","",LARGE($J$2:$J$31,ROWS($T$2:T5)))</f>
        <v/>
      </c>
      <c r="U5" s="2">
        <f>IFERROR(INDEX(SORT(UNIQUE(FILTER(Habits!$C$2:$C$31,Habits!$C$2:$C$31&lt;&gt;""))),ROWS($U$2:U5)),"")</f>
        <v/>
      </c>
      <c r="V5" s="38">
        <f>IF(U5="","",AVERAGEIF($I$2:$I$31,U5,$H$2:$H$31))</f>
        <v/>
      </c>
      <c r="W5" s="2" t="n"/>
      <c r="X5" s="2" t="n"/>
      <c r="Y5" s="2" t="n"/>
      <c r="Z5" s="2" t="n"/>
      <c r="AA5" s="2" t="n"/>
      <c r="AB5" s="2" t="n"/>
    </row>
    <row r="6">
      <c r="A6" s="2" t="n">
        <v>5</v>
      </c>
      <c r="B6" s="42">
        <f>IF(A6&gt;$AB$2,"",DATE(YEAR(Tracker!$D$1),MONTH(Tracker!$D$1),A6))</f>
        <v/>
      </c>
      <c r="C6" s="38">
        <f>IF(B6="","",COUNTIF(INDEX(Tracker!$D$3:$AH$32,0,A6),TRUE)/MAX(1,COUNTA(Tracker!$B$3:$B$32)))</f>
        <v/>
      </c>
      <c r="D6" s="38">
        <f>IF(C6="","",AVERAGE(C2:C6))</f>
        <v/>
      </c>
      <c r="E6" s="2">
        <f>IF(B6="","",COUNTIF(INDEX(Tracker!$D$3:$AH$32,0,A6),TRUE))</f>
        <v/>
      </c>
      <c r="F6" s="2">
        <f>COUNTA(Tracker!$B$3:$B$32)</f>
        <v/>
      </c>
      <c r="G6" s="2">
        <f>Summary!B6</f>
        <v/>
      </c>
      <c r="H6" s="38">
        <f>Summary!D6</f>
        <v/>
      </c>
      <c r="I6" s="2">
        <f>Summary!C6</f>
        <v/>
      </c>
      <c r="J6" s="2">
        <f>Summary!F6</f>
        <v/>
      </c>
      <c r="K6" s="2">
        <f>Summary!E6</f>
        <v/>
      </c>
      <c r="L6" s="38">
        <f>IFERROR(INDEX(FILTER(History!$D$2:$D,History!$A$2:$A=$Y$2,History!$B$2:$B=G6),1),"")</f>
        <v/>
      </c>
      <c r="M6" s="43">
        <f>IF(L6="","",H6-L6)</f>
        <v/>
      </c>
      <c r="N6" s="2" t="n"/>
      <c r="O6" s="2">
        <f>IF(ROWS($O$2:O6)&gt;$N$2,"",INDEX($G$2:$G$31,MATCH(LARGE($H$2:$H$31,ROWS($O$2:O6)),$H$2:$H$31,0)))</f>
        <v/>
      </c>
      <c r="P6" s="38">
        <f>IF(O6="","",LARGE($H$2:$H$31,ROWS($P$2:P6)))</f>
        <v/>
      </c>
      <c r="Q6" s="2">
        <f>IF(P6="","",TEXT(P6,"0%"))</f>
        <v/>
      </c>
      <c r="R6" s="2">
        <f>IFERROR(INDEX($G$2:$G$31,MATCH(LARGE($J$2:$J$31,ROWS($R$2:R6)),$J$2:$J$31,0)),"")</f>
        <v/>
      </c>
      <c r="S6" s="2">
        <f>IF(R6="","",INDEX($K$2:$K$31,MATCH(R6,$G$2:$G$31,0)))</f>
        <v/>
      </c>
      <c r="T6" s="2">
        <f>IF(R6="","",LARGE($J$2:$J$31,ROWS($T$2:T6)))</f>
        <v/>
      </c>
      <c r="U6" s="2">
        <f>IFERROR(INDEX(SORT(UNIQUE(FILTER(Habits!$C$2:$C$31,Habits!$C$2:$C$31&lt;&gt;""))),ROWS($U$2:U6)),"")</f>
        <v/>
      </c>
      <c r="V6" s="38">
        <f>IF(U6="","",AVERAGEIF($I$2:$I$31,U6,$H$2:$H$31))</f>
        <v/>
      </c>
      <c r="W6" s="2" t="n"/>
      <c r="X6" s="2" t="n"/>
      <c r="Y6" s="2" t="n"/>
      <c r="Z6" s="2" t="n"/>
      <c r="AA6" s="2" t="n"/>
      <c r="AB6" s="2" t="n"/>
    </row>
    <row r="7">
      <c r="A7" s="2" t="n">
        <v>6</v>
      </c>
      <c r="B7" s="42">
        <f>IF(A7&gt;$AB$2,"",DATE(YEAR(Tracker!$D$1),MONTH(Tracker!$D$1),A7))</f>
        <v/>
      </c>
      <c r="C7" s="38">
        <f>IF(B7="","",COUNTIF(INDEX(Tracker!$D$3:$AH$32,0,A7),TRUE)/MAX(1,COUNTA(Tracker!$B$3:$B$32)))</f>
        <v/>
      </c>
      <c r="D7" s="38">
        <f>IF(C7="","",AVERAGE(C2:C7))</f>
        <v/>
      </c>
      <c r="E7" s="2">
        <f>IF(B7="","",COUNTIF(INDEX(Tracker!$D$3:$AH$32,0,A7),TRUE))</f>
        <v/>
      </c>
      <c r="F7" s="2">
        <f>COUNTA(Tracker!$B$3:$B$32)</f>
        <v/>
      </c>
      <c r="G7" s="2">
        <f>Summary!B7</f>
        <v/>
      </c>
      <c r="H7" s="38">
        <f>Summary!D7</f>
        <v/>
      </c>
      <c r="I7" s="2">
        <f>Summary!C7</f>
        <v/>
      </c>
      <c r="J7" s="2">
        <f>Summary!F7</f>
        <v/>
      </c>
      <c r="K7" s="2">
        <f>Summary!E7</f>
        <v/>
      </c>
      <c r="L7" s="38">
        <f>IFERROR(INDEX(FILTER(History!$D$2:$D,History!$A$2:$A=$Y$2,History!$B$2:$B=G7),1),"")</f>
        <v/>
      </c>
      <c r="M7" s="43">
        <f>IF(L7="","",H7-L7)</f>
        <v/>
      </c>
      <c r="N7" s="2" t="n"/>
      <c r="O7" s="2">
        <f>IF(ROWS($O$2:O7)&gt;$N$2,"",INDEX($G$2:$G$31,MATCH(LARGE($H$2:$H$31,ROWS($O$2:O7)),$H$2:$H$31,0)))</f>
        <v/>
      </c>
      <c r="P7" s="38">
        <f>IF(O7="","",LARGE($H$2:$H$31,ROWS($P$2:P7)))</f>
        <v/>
      </c>
      <c r="Q7" s="2">
        <f>IF(P7="","",TEXT(P7,"0%"))</f>
        <v/>
      </c>
      <c r="R7" s="2">
        <f>IFERROR(INDEX($G$2:$G$31,MATCH(LARGE($J$2:$J$31,ROWS($R$2:R7)),$J$2:$J$31,0)),"")</f>
        <v/>
      </c>
      <c r="S7" s="2">
        <f>IF(R7="","",INDEX($K$2:$K$31,MATCH(R7,$G$2:$G$31,0)))</f>
        <v/>
      </c>
      <c r="T7" s="2">
        <f>IF(R7="","",LARGE($J$2:$J$31,ROWS($T$2:T7)))</f>
        <v/>
      </c>
      <c r="U7" s="2">
        <f>IFERROR(INDEX(SORT(UNIQUE(FILTER(Habits!$C$2:$C$31,Habits!$C$2:$C$31&lt;&gt;""))),ROWS($U$2:U7)),"")</f>
        <v/>
      </c>
      <c r="V7" s="38">
        <f>IF(U7="","",AVERAGEIF($I$2:$I$31,U7,$H$2:$H$31))</f>
        <v/>
      </c>
      <c r="W7" s="2" t="n"/>
      <c r="X7" s="2" t="n"/>
      <c r="Y7" s="2" t="n"/>
      <c r="Z7" s="2" t="n"/>
      <c r="AA7" s="2" t="n"/>
      <c r="AB7" s="2" t="n"/>
    </row>
    <row r="8">
      <c r="A8" s="2" t="n">
        <v>7</v>
      </c>
      <c r="B8" s="42">
        <f>IF(A8&gt;$AB$2,"",DATE(YEAR(Tracker!$D$1),MONTH(Tracker!$D$1),A8))</f>
        <v/>
      </c>
      <c r="C8" s="38">
        <f>IF(B8="","",COUNTIF(INDEX(Tracker!$D$3:$AH$32,0,A8),TRUE)/MAX(1,COUNTA(Tracker!$B$3:$B$32)))</f>
        <v/>
      </c>
      <c r="D8" s="38">
        <f>IF(C8="","",AVERAGE(C2:C8))</f>
        <v/>
      </c>
      <c r="E8" s="2">
        <f>IF(B8="","",COUNTIF(INDEX(Tracker!$D$3:$AH$32,0,A8),TRUE))</f>
        <v/>
      </c>
      <c r="F8" s="2">
        <f>COUNTA(Tracker!$B$3:$B$32)</f>
        <v/>
      </c>
      <c r="G8" s="2">
        <f>Summary!B8</f>
        <v/>
      </c>
      <c r="H8" s="38">
        <f>Summary!D8</f>
        <v/>
      </c>
      <c r="I8" s="2">
        <f>Summary!C8</f>
        <v/>
      </c>
      <c r="J8" s="2">
        <f>Summary!F8</f>
        <v/>
      </c>
      <c r="K8" s="2">
        <f>Summary!E8</f>
        <v/>
      </c>
      <c r="L8" s="38">
        <f>IFERROR(INDEX(FILTER(History!$D$2:$D,History!$A$2:$A=$Y$2,History!$B$2:$B=G8),1),"")</f>
        <v/>
      </c>
      <c r="M8" s="43">
        <f>IF(L8="","",H8-L8)</f>
        <v/>
      </c>
      <c r="N8" s="2" t="n"/>
      <c r="O8" s="2">
        <f>IF(ROWS($O$2:O8)&gt;$N$2,"",INDEX($G$2:$G$31,MATCH(LARGE($H$2:$H$31,ROWS($O$2:O8)),$H$2:$H$31,0)))</f>
        <v/>
      </c>
      <c r="P8" s="38">
        <f>IF(O8="","",LARGE($H$2:$H$31,ROWS($P$2:P8)))</f>
        <v/>
      </c>
      <c r="Q8" s="2">
        <f>IF(P8="","",TEXT(P8,"0%"))</f>
        <v/>
      </c>
      <c r="R8" s="2">
        <f>IFERROR(INDEX($G$2:$G$31,MATCH(LARGE($J$2:$J$31,ROWS($R$2:R8)),$J$2:$J$31,0)),"")</f>
        <v/>
      </c>
      <c r="S8" s="2">
        <f>IF(R8="","",INDEX($K$2:$K$31,MATCH(R8,$G$2:$G$31,0)))</f>
        <v/>
      </c>
      <c r="T8" s="2">
        <f>IF(R8="","",LARGE($J$2:$J$31,ROWS($T$2:T8)))</f>
        <v/>
      </c>
      <c r="U8" s="2">
        <f>IFERROR(INDEX(SORT(UNIQUE(FILTER(Habits!$C$2:$C$31,Habits!$C$2:$C$31&lt;&gt;""))),ROWS($U$2:U8)),"")</f>
        <v/>
      </c>
      <c r="V8" s="38">
        <f>IF(U8="","",AVERAGEIF($I$2:$I$31,U8,$H$2:$H$31))</f>
        <v/>
      </c>
      <c r="W8" s="2" t="n"/>
      <c r="X8" s="2" t="n"/>
      <c r="Y8" s="2" t="n"/>
      <c r="Z8" s="2" t="n"/>
      <c r="AA8" s="2" t="n"/>
      <c r="AB8" s="2" t="n"/>
    </row>
    <row r="9">
      <c r="A9" s="2" t="n">
        <v>8</v>
      </c>
      <c r="B9" s="42">
        <f>IF(A9&gt;$AB$2,"",DATE(YEAR(Tracker!$D$1),MONTH(Tracker!$D$1),A9))</f>
        <v/>
      </c>
      <c r="C9" s="38">
        <f>IF(B9="","",COUNTIF(INDEX(Tracker!$D$3:$AH$32,0,A9),TRUE)/MAX(1,COUNTA(Tracker!$B$3:$B$32)))</f>
        <v/>
      </c>
      <c r="D9" s="38">
        <f>IF(C9="","",AVERAGE(C3:C9))</f>
        <v/>
      </c>
      <c r="E9" s="2">
        <f>IF(B9="","",COUNTIF(INDEX(Tracker!$D$3:$AH$32,0,A9),TRUE))</f>
        <v/>
      </c>
      <c r="F9" s="2">
        <f>COUNTA(Tracker!$B$3:$B$32)</f>
        <v/>
      </c>
      <c r="G9" s="2">
        <f>Summary!B9</f>
        <v/>
      </c>
      <c r="H9" s="38">
        <f>Summary!D9</f>
        <v/>
      </c>
      <c r="I9" s="2">
        <f>Summary!C9</f>
        <v/>
      </c>
      <c r="J9" s="2">
        <f>Summary!F9</f>
        <v/>
      </c>
      <c r="K9" s="2">
        <f>Summary!E9</f>
        <v/>
      </c>
      <c r="L9" s="38">
        <f>IFERROR(INDEX(FILTER(History!$D$2:$D,History!$A$2:$A=$Y$2,History!$B$2:$B=G9),1),"")</f>
        <v/>
      </c>
      <c r="M9" s="43">
        <f>IF(L9="","",H9-L9)</f>
        <v/>
      </c>
      <c r="N9" s="2" t="n"/>
      <c r="O9" s="2">
        <f>IF(ROWS($O$2:O9)&gt;$N$2,"",INDEX($G$2:$G$31,MATCH(LARGE($H$2:$H$31,ROWS($O$2:O9)),$H$2:$H$31,0)))</f>
        <v/>
      </c>
      <c r="P9" s="38">
        <f>IF(O9="","",LARGE($H$2:$H$31,ROWS($P$2:P9)))</f>
        <v/>
      </c>
      <c r="Q9" s="2">
        <f>IF(P9="","",TEXT(P9,"0%"))</f>
        <v/>
      </c>
      <c r="R9" s="2">
        <f>IFERROR(INDEX($G$2:$G$31,MATCH(LARGE($J$2:$J$31,ROWS($R$2:R9)),$J$2:$J$31,0)),"")</f>
        <v/>
      </c>
      <c r="S9" s="2">
        <f>IF(R9="","",INDEX($K$2:$K$31,MATCH(R9,$G$2:$G$31,0)))</f>
        <v/>
      </c>
      <c r="T9" s="2">
        <f>IF(R9="","",LARGE($J$2:$J$31,ROWS($T$2:T9)))</f>
        <v/>
      </c>
      <c r="U9" s="2">
        <f>IFERROR(INDEX(SORT(UNIQUE(FILTER(Habits!$C$2:$C$31,Habits!$C$2:$C$31&lt;&gt;""))),ROWS($U$2:U9)),"")</f>
        <v/>
      </c>
      <c r="V9" s="38">
        <f>IF(U9="","",AVERAGEIF($I$2:$I$31,U9,$H$2:$H$31))</f>
        <v/>
      </c>
      <c r="W9" s="2" t="n"/>
      <c r="X9" s="2" t="n"/>
      <c r="Y9" s="2" t="n"/>
      <c r="Z9" s="2" t="n"/>
      <c r="AA9" s="2" t="n"/>
      <c r="AB9" s="2" t="n"/>
    </row>
    <row r="10">
      <c r="A10" s="2" t="n">
        <v>9</v>
      </c>
      <c r="B10" s="42">
        <f>IF(A10&gt;$AB$2,"",DATE(YEAR(Tracker!$D$1),MONTH(Tracker!$D$1),A10))</f>
        <v/>
      </c>
      <c r="C10" s="38">
        <f>IF(B10="","",COUNTIF(INDEX(Tracker!$D$3:$AH$32,0,A10),TRUE)/MAX(1,COUNTA(Tracker!$B$3:$B$32)))</f>
        <v/>
      </c>
      <c r="D10" s="38">
        <f>IF(C10="","",AVERAGE(C4:C10))</f>
        <v/>
      </c>
      <c r="E10" s="2">
        <f>IF(B10="","",COUNTIF(INDEX(Tracker!$D$3:$AH$32,0,A10),TRUE))</f>
        <v/>
      </c>
      <c r="F10" s="2">
        <f>COUNTA(Tracker!$B$3:$B$32)</f>
        <v/>
      </c>
      <c r="G10" s="2">
        <f>Summary!B10</f>
        <v/>
      </c>
      <c r="H10" s="38">
        <f>Summary!D10</f>
        <v/>
      </c>
      <c r="I10" s="2">
        <f>Summary!C10</f>
        <v/>
      </c>
      <c r="J10" s="2">
        <f>Summary!F10</f>
        <v/>
      </c>
      <c r="K10" s="2">
        <f>Summary!E10</f>
        <v/>
      </c>
      <c r="L10" s="38">
        <f>IFERROR(INDEX(FILTER(History!$D$2:$D,History!$A$2:$A=$Y$2,History!$B$2:$B=G10),1),"")</f>
        <v/>
      </c>
      <c r="M10" s="43">
        <f>IF(L10="","",H10-L10)</f>
        <v/>
      </c>
      <c r="N10" s="2" t="n"/>
      <c r="O10" s="2">
        <f>IF(ROWS($O$2:O10)&gt;$N$2,"",INDEX($G$2:$G$31,MATCH(LARGE($H$2:$H$31,ROWS($O$2:O10)),$H$2:$H$31,0)))</f>
        <v/>
      </c>
      <c r="P10" s="38">
        <f>IF(O10="","",LARGE($H$2:$H$31,ROWS($P$2:P10)))</f>
        <v/>
      </c>
      <c r="Q10" s="2">
        <f>IF(P10="","",TEXT(P10,"0%"))</f>
        <v/>
      </c>
      <c r="R10" s="2">
        <f>IFERROR(INDEX($G$2:$G$31,MATCH(LARGE($J$2:$J$31,ROWS($R$2:R10)),$J$2:$J$31,0)),"")</f>
        <v/>
      </c>
      <c r="S10" s="2">
        <f>IF(R10="","",INDEX($K$2:$K$31,MATCH(R10,$G$2:$G$31,0)))</f>
        <v/>
      </c>
      <c r="T10" s="2">
        <f>IF(R10="","",LARGE($J$2:$J$31,ROWS($T$2:T10)))</f>
        <v/>
      </c>
      <c r="U10" s="2">
        <f>IFERROR(INDEX(SORT(UNIQUE(FILTER(Habits!$C$2:$C$31,Habits!$C$2:$C$31&lt;&gt;""))),ROWS($U$2:U10)),"")</f>
        <v/>
      </c>
      <c r="V10" s="38">
        <f>IF(U10="","",AVERAGEIF($I$2:$I$31,U10,$H$2:$H$31))</f>
        <v/>
      </c>
      <c r="W10" s="2" t="n"/>
      <c r="X10" s="2" t="n"/>
      <c r="Y10" s="2" t="n"/>
      <c r="Z10" s="2" t="n"/>
      <c r="AA10" s="2" t="n"/>
      <c r="AB10" s="2" t="n"/>
    </row>
    <row r="11">
      <c r="A11" s="2" t="n">
        <v>10</v>
      </c>
      <c r="B11" s="42">
        <f>IF(A11&gt;$AB$2,"",DATE(YEAR(Tracker!$D$1),MONTH(Tracker!$D$1),A11))</f>
        <v/>
      </c>
      <c r="C11" s="38">
        <f>IF(B11="","",COUNTIF(INDEX(Tracker!$D$3:$AH$32,0,A11),TRUE)/MAX(1,COUNTA(Tracker!$B$3:$B$32)))</f>
        <v/>
      </c>
      <c r="D11" s="38">
        <f>IF(C11="","",AVERAGE(C5:C11))</f>
        <v/>
      </c>
      <c r="E11" s="2">
        <f>IF(B11="","",COUNTIF(INDEX(Tracker!$D$3:$AH$32,0,A11),TRUE))</f>
        <v/>
      </c>
      <c r="F11" s="2">
        <f>COUNTA(Tracker!$B$3:$B$32)</f>
        <v/>
      </c>
      <c r="G11" s="2">
        <f>Summary!B11</f>
        <v/>
      </c>
      <c r="H11" s="38">
        <f>Summary!D11</f>
        <v/>
      </c>
      <c r="I11" s="2">
        <f>Summary!C11</f>
        <v/>
      </c>
      <c r="J11" s="2">
        <f>Summary!F11</f>
        <v/>
      </c>
      <c r="K11" s="2">
        <f>Summary!E11</f>
        <v/>
      </c>
      <c r="L11" s="38">
        <f>IFERROR(INDEX(FILTER(History!$D$2:$D,History!$A$2:$A=$Y$2,History!$B$2:$B=G11),1),"")</f>
        <v/>
      </c>
      <c r="M11" s="43">
        <f>IF(L11="","",H11-L11)</f>
        <v/>
      </c>
      <c r="N11" s="2" t="n"/>
      <c r="O11" s="2">
        <f>IF(ROWS($O$2:O11)&gt;$N$2,"",INDEX($G$2:$G$31,MATCH(LARGE($H$2:$H$31,ROWS($O$2:O11)),$H$2:$H$31,0)))</f>
        <v/>
      </c>
      <c r="P11" s="38">
        <f>IF(O11="","",LARGE($H$2:$H$31,ROWS($P$2:P11)))</f>
        <v/>
      </c>
      <c r="Q11" s="2">
        <f>IF(P11="","",TEXT(P11,"0%"))</f>
        <v/>
      </c>
      <c r="R11" s="2">
        <f>IFERROR(INDEX($G$2:$G$31,MATCH(LARGE($J$2:$J$31,ROWS($R$2:R11)),$J$2:$J$31,0)),"")</f>
        <v/>
      </c>
      <c r="S11" s="2">
        <f>IF(R11="","",INDEX($K$2:$K$31,MATCH(R11,$G$2:$G$31,0)))</f>
        <v/>
      </c>
      <c r="T11" s="2">
        <f>IF(R11="","",LARGE($J$2:$J$31,ROWS($T$2:T11)))</f>
        <v/>
      </c>
      <c r="U11" s="2" t="n"/>
      <c r="V11" s="2" t="n"/>
      <c r="W11" s="2" t="n"/>
      <c r="X11" s="2" t="n"/>
      <c r="Y11" s="2" t="n"/>
      <c r="Z11" s="2" t="n"/>
      <c r="AA11" s="2" t="n"/>
      <c r="AB11" s="2" t="n"/>
    </row>
    <row r="12">
      <c r="A12" s="2" t="n">
        <v>11</v>
      </c>
      <c r="B12" s="42">
        <f>IF(A12&gt;$AB$2,"",DATE(YEAR(Tracker!$D$1),MONTH(Tracker!$D$1),A12))</f>
        <v/>
      </c>
      <c r="C12" s="38">
        <f>IF(B12="","",COUNTIF(INDEX(Tracker!$D$3:$AH$32,0,A12),TRUE)/MAX(1,COUNTA(Tracker!$B$3:$B$32)))</f>
        <v/>
      </c>
      <c r="D12" s="38">
        <f>IF(C12="","",AVERAGE(C6:C12))</f>
        <v/>
      </c>
      <c r="E12" s="2">
        <f>IF(B12="","",COUNTIF(INDEX(Tracker!$D$3:$AH$32,0,A12),TRUE))</f>
        <v/>
      </c>
      <c r="F12" s="2">
        <f>COUNTA(Tracker!$B$3:$B$32)</f>
        <v/>
      </c>
      <c r="G12" s="2">
        <f>Summary!B12</f>
        <v/>
      </c>
      <c r="H12" s="38">
        <f>Summary!D12</f>
        <v/>
      </c>
      <c r="I12" s="2">
        <f>Summary!C12</f>
        <v/>
      </c>
      <c r="J12" s="2">
        <f>Summary!F12</f>
        <v/>
      </c>
      <c r="K12" s="2">
        <f>Summary!E12</f>
        <v/>
      </c>
      <c r="L12" s="38">
        <f>IFERROR(INDEX(FILTER(History!$D$2:$D,History!$A$2:$A=$Y$2,History!$B$2:$B=G12),1),"")</f>
        <v/>
      </c>
      <c r="M12" s="43">
        <f>IF(L12="","",H12-L12)</f>
        <v/>
      </c>
      <c r="N12" s="2" t="n"/>
      <c r="O12" s="2">
        <f>IF(ROWS($O$2:O12)&gt;$N$2,"",INDEX($G$2:$G$31,MATCH(LARGE($H$2:$H$31,ROWS($O$2:O12)),$H$2:$H$31,0)))</f>
        <v/>
      </c>
      <c r="P12" s="38">
        <f>IF(O12="","",LARGE($H$2:$H$31,ROWS($P$2:P12)))</f>
        <v/>
      </c>
      <c r="Q12" s="2">
        <f>IF(P12="","",TEXT(P12,"0%"))</f>
        <v/>
      </c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</row>
    <row r="13">
      <c r="A13" s="2" t="n">
        <v>12</v>
      </c>
      <c r="B13" s="42">
        <f>IF(A13&gt;$AB$2,"",DATE(YEAR(Tracker!$D$1),MONTH(Tracker!$D$1),A13))</f>
        <v/>
      </c>
      <c r="C13" s="38">
        <f>IF(B13="","",COUNTIF(INDEX(Tracker!$D$3:$AH$32,0,A13),TRUE)/MAX(1,COUNTA(Tracker!$B$3:$B$32)))</f>
        <v/>
      </c>
      <c r="D13" s="38">
        <f>IF(C13="","",AVERAGE(C7:C13))</f>
        <v/>
      </c>
      <c r="E13" s="2">
        <f>IF(B13="","",COUNTIF(INDEX(Tracker!$D$3:$AH$32,0,A13),TRUE))</f>
        <v/>
      </c>
      <c r="F13" s="2">
        <f>COUNTA(Tracker!$B$3:$B$32)</f>
        <v/>
      </c>
      <c r="G13" s="2">
        <f>Summary!B13</f>
        <v/>
      </c>
      <c r="H13" s="38">
        <f>Summary!D13</f>
        <v/>
      </c>
      <c r="I13" s="2">
        <f>Summary!C13</f>
        <v/>
      </c>
      <c r="J13" s="2">
        <f>Summary!F13</f>
        <v/>
      </c>
      <c r="K13" s="2">
        <f>Summary!E13</f>
        <v/>
      </c>
      <c r="L13" s="38">
        <f>IFERROR(INDEX(FILTER(History!$D$2:$D,History!$A$2:$A=$Y$2,History!$B$2:$B=G13),1),"")</f>
        <v/>
      </c>
      <c r="M13" s="43">
        <f>IF(L13="","",H13-L13)</f>
        <v/>
      </c>
      <c r="N13" s="2" t="n"/>
      <c r="O13" s="2">
        <f>IF(ROWS($O$2:O13)&gt;$N$2,"",INDEX($G$2:$G$31,MATCH(LARGE($H$2:$H$31,ROWS($O$2:O13)),$H$2:$H$31,0)))</f>
        <v/>
      </c>
      <c r="P13" s="38">
        <f>IF(O13="","",LARGE($H$2:$H$31,ROWS($P$2:P13)))</f>
        <v/>
      </c>
      <c r="Q13" s="2">
        <f>IF(P13="","",TEXT(P13,"0%"))</f>
        <v/>
      </c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</row>
    <row r="14">
      <c r="A14" s="2" t="n">
        <v>13</v>
      </c>
      <c r="B14" s="42">
        <f>IF(A14&gt;$AB$2,"",DATE(YEAR(Tracker!$D$1),MONTH(Tracker!$D$1),A14))</f>
        <v/>
      </c>
      <c r="C14" s="38">
        <f>IF(B14="","",COUNTIF(INDEX(Tracker!$D$3:$AH$32,0,A14),TRUE)/MAX(1,COUNTA(Tracker!$B$3:$B$32)))</f>
        <v/>
      </c>
      <c r="D14" s="38">
        <f>IF(C14="","",AVERAGE(C8:C14))</f>
        <v/>
      </c>
      <c r="E14" s="2">
        <f>IF(B14="","",COUNTIF(INDEX(Tracker!$D$3:$AH$32,0,A14),TRUE))</f>
        <v/>
      </c>
      <c r="F14" s="2">
        <f>COUNTA(Tracker!$B$3:$B$32)</f>
        <v/>
      </c>
      <c r="G14" s="2">
        <f>Summary!B14</f>
        <v/>
      </c>
      <c r="H14" s="38">
        <f>Summary!D14</f>
        <v/>
      </c>
      <c r="I14" s="2">
        <f>Summary!C14</f>
        <v/>
      </c>
      <c r="J14" s="2">
        <f>Summary!F14</f>
        <v/>
      </c>
      <c r="K14" s="2">
        <f>Summary!E14</f>
        <v/>
      </c>
      <c r="L14" s="38">
        <f>IFERROR(INDEX(FILTER(History!$D$2:$D,History!$A$2:$A=$Y$2,History!$B$2:$B=G14),1),"")</f>
        <v/>
      </c>
      <c r="M14" s="43">
        <f>IF(L14="","",H14-L14)</f>
        <v/>
      </c>
      <c r="N14" s="2" t="n"/>
      <c r="O14" s="2">
        <f>IF(ROWS($O$2:O14)&gt;$N$2,"",INDEX($G$2:$G$31,MATCH(LARGE($H$2:$H$31,ROWS($O$2:O14)),$H$2:$H$31,0)))</f>
        <v/>
      </c>
      <c r="P14" s="38">
        <f>IF(O14="","",LARGE($H$2:$H$31,ROWS($P$2:P14)))</f>
        <v/>
      </c>
      <c r="Q14" s="2">
        <f>IF(P14="","",TEXT(P14,"0%"))</f>
        <v/>
      </c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</row>
    <row r="15">
      <c r="A15" s="2" t="n">
        <v>14</v>
      </c>
      <c r="B15" s="42">
        <f>IF(A15&gt;$AB$2,"",DATE(YEAR(Tracker!$D$1),MONTH(Tracker!$D$1),A15))</f>
        <v/>
      </c>
      <c r="C15" s="38">
        <f>IF(B15="","",COUNTIF(INDEX(Tracker!$D$3:$AH$32,0,A15),TRUE)/MAX(1,COUNTA(Tracker!$B$3:$B$32)))</f>
        <v/>
      </c>
      <c r="D15" s="38">
        <f>IF(C15="","",AVERAGE(C9:C15))</f>
        <v/>
      </c>
      <c r="E15" s="2">
        <f>IF(B15="","",COUNTIF(INDEX(Tracker!$D$3:$AH$32,0,A15),TRUE))</f>
        <v/>
      </c>
      <c r="F15" s="2">
        <f>COUNTA(Tracker!$B$3:$B$32)</f>
        <v/>
      </c>
      <c r="G15" s="2">
        <f>Summary!B15</f>
        <v/>
      </c>
      <c r="H15" s="38">
        <f>Summary!D15</f>
        <v/>
      </c>
      <c r="I15" s="2">
        <f>Summary!C15</f>
        <v/>
      </c>
      <c r="J15" s="2">
        <f>Summary!F15</f>
        <v/>
      </c>
      <c r="K15" s="2">
        <f>Summary!E15</f>
        <v/>
      </c>
      <c r="L15" s="38">
        <f>IFERROR(INDEX(FILTER(History!$D$2:$D,History!$A$2:$A=$Y$2,History!$B$2:$B=G15),1),"")</f>
        <v/>
      </c>
      <c r="M15" s="43">
        <f>IF(L15="","",H15-L15)</f>
        <v/>
      </c>
      <c r="N15" s="2" t="n"/>
      <c r="O15" s="2">
        <f>IF(ROWS($O$2:O15)&gt;$N$2,"",INDEX($G$2:$G$31,MATCH(LARGE($H$2:$H$31,ROWS($O$2:O15)),$H$2:$H$31,0)))</f>
        <v/>
      </c>
      <c r="P15" s="38">
        <f>IF(O15="","",LARGE($H$2:$H$31,ROWS($P$2:P15)))</f>
        <v/>
      </c>
      <c r="Q15" s="2">
        <f>IF(P15="","",TEXT(P15,"0%"))</f>
        <v/>
      </c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</row>
    <row r="16">
      <c r="A16" s="2" t="n">
        <v>15</v>
      </c>
      <c r="B16" s="42">
        <f>IF(A16&gt;$AB$2,"",DATE(YEAR(Tracker!$D$1),MONTH(Tracker!$D$1),A16))</f>
        <v/>
      </c>
      <c r="C16" s="38">
        <f>IF(B16="","",COUNTIF(INDEX(Tracker!$D$3:$AH$32,0,A16),TRUE)/MAX(1,COUNTA(Tracker!$B$3:$B$32)))</f>
        <v/>
      </c>
      <c r="D16" s="38">
        <f>IF(C16="","",AVERAGE(C10:C16))</f>
        <v/>
      </c>
      <c r="E16" s="2">
        <f>IF(B16="","",COUNTIF(INDEX(Tracker!$D$3:$AH$32,0,A16),TRUE))</f>
        <v/>
      </c>
      <c r="F16" s="2">
        <f>COUNTA(Tracker!$B$3:$B$32)</f>
        <v/>
      </c>
      <c r="G16" s="2">
        <f>Summary!B16</f>
        <v/>
      </c>
      <c r="H16" s="38">
        <f>Summary!D16</f>
        <v/>
      </c>
      <c r="I16" s="2">
        <f>Summary!C16</f>
        <v/>
      </c>
      <c r="J16" s="2">
        <f>Summary!F16</f>
        <v/>
      </c>
      <c r="K16" s="2">
        <f>Summary!E16</f>
        <v/>
      </c>
      <c r="L16" s="38">
        <f>IFERROR(INDEX(FILTER(History!$D$2:$D,History!$A$2:$A=$Y$2,History!$B$2:$B=G16),1),"")</f>
        <v/>
      </c>
      <c r="M16" s="43">
        <f>IF(L16="","",H16-L16)</f>
        <v/>
      </c>
      <c r="N16" s="2" t="n"/>
      <c r="O16" s="2">
        <f>IF(ROWS($O$2:O16)&gt;$N$2,"",INDEX($G$2:$G$31,MATCH(LARGE($H$2:$H$31,ROWS($O$2:O16)),$H$2:$H$31,0)))</f>
        <v/>
      </c>
      <c r="P16" s="38">
        <f>IF(O16="","",LARGE($H$2:$H$31,ROWS($P$2:P16)))</f>
        <v/>
      </c>
      <c r="Q16" s="2">
        <f>IF(P16="","",TEXT(P16,"0%"))</f>
        <v/>
      </c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</row>
    <row r="17">
      <c r="A17" s="2" t="n">
        <v>16</v>
      </c>
      <c r="B17" s="42">
        <f>IF(A17&gt;$AB$2,"",DATE(YEAR(Tracker!$D$1),MONTH(Tracker!$D$1),A17))</f>
        <v/>
      </c>
      <c r="C17" s="38">
        <f>IF(B17="","",COUNTIF(INDEX(Tracker!$D$3:$AH$32,0,A17),TRUE)/MAX(1,COUNTA(Tracker!$B$3:$B$32)))</f>
        <v/>
      </c>
      <c r="D17" s="38">
        <f>IF(C17="","",AVERAGE(C11:C17))</f>
        <v/>
      </c>
      <c r="E17" s="2">
        <f>IF(B17="","",COUNTIF(INDEX(Tracker!$D$3:$AH$32,0,A17),TRUE))</f>
        <v/>
      </c>
      <c r="F17" s="2">
        <f>COUNTA(Tracker!$B$3:$B$32)</f>
        <v/>
      </c>
      <c r="G17" s="2">
        <f>Summary!B17</f>
        <v/>
      </c>
      <c r="H17" s="38">
        <f>Summary!D17</f>
        <v/>
      </c>
      <c r="I17" s="2">
        <f>Summary!C17</f>
        <v/>
      </c>
      <c r="J17" s="2">
        <f>Summary!F17</f>
        <v/>
      </c>
      <c r="K17" s="2">
        <f>Summary!E17</f>
        <v/>
      </c>
      <c r="L17" s="38">
        <f>IFERROR(INDEX(FILTER(History!$D$2:$D,History!$A$2:$A=$Y$2,History!$B$2:$B=G17),1),"")</f>
        <v/>
      </c>
      <c r="M17" s="43">
        <f>IF(L17="","",H17-L17)</f>
        <v/>
      </c>
      <c r="N17" s="2" t="n"/>
      <c r="O17" s="2">
        <f>IF(ROWS($O$2:O17)&gt;$N$2,"",INDEX($G$2:$G$31,MATCH(LARGE($H$2:$H$31,ROWS($O$2:O17)),$H$2:$H$31,0)))</f>
        <v/>
      </c>
      <c r="P17" s="38">
        <f>IF(O17="","",LARGE($H$2:$H$31,ROWS($P$2:P17)))</f>
        <v/>
      </c>
      <c r="Q17" s="2">
        <f>IF(P17="","",TEXT(P17,"0%"))</f>
        <v/>
      </c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</row>
    <row r="18">
      <c r="A18" s="2" t="n">
        <v>17</v>
      </c>
      <c r="B18" s="42">
        <f>IF(A18&gt;$AB$2,"",DATE(YEAR(Tracker!$D$1),MONTH(Tracker!$D$1),A18))</f>
        <v/>
      </c>
      <c r="C18" s="38">
        <f>IF(B18="","",COUNTIF(INDEX(Tracker!$D$3:$AH$32,0,A18),TRUE)/MAX(1,COUNTA(Tracker!$B$3:$B$32)))</f>
        <v/>
      </c>
      <c r="D18" s="38">
        <f>IF(C18="","",AVERAGE(C12:C18))</f>
        <v/>
      </c>
      <c r="E18" s="2">
        <f>IF(B18="","",COUNTIF(INDEX(Tracker!$D$3:$AH$32,0,A18),TRUE))</f>
        <v/>
      </c>
      <c r="F18" s="2">
        <f>COUNTA(Tracker!$B$3:$B$32)</f>
        <v/>
      </c>
      <c r="G18" s="2">
        <f>Summary!B18</f>
        <v/>
      </c>
      <c r="H18" s="38">
        <f>Summary!D18</f>
        <v/>
      </c>
      <c r="I18" s="2">
        <f>Summary!C18</f>
        <v/>
      </c>
      <c r="J18" s="2">
        <f>Summary!F18</f>
        <v/>
      </c>
      <c r="K18" s="2">
        <f>Summary!E18</f>
        <v/>
      </c>
      <c r="L18" s="38">
        <f>IFERROR(INDEX(FILTER(History!$D$2:$D,History!$A$2:$A=$Y$2,History!$B$2:$B=G18),1),"")</f>
        <v/>
      </c>
      <c r="M18" s="43">
        <f>IF(L18="","",H18-L18)</f>
        <v/>
      </c>
      <c r="N18" s="2" t="n"/>
      <c r="O18" s="2">
        <f>IF(ROWS($O$2:O18)&gt;$N$2,"",INDEX($G$2:$G$31,MATCH(LARGE($H$2:$H$31,ROWS($O$2:O18)),$H$2:$H$31,0)))</f>
        <v/>
      </c>
      <c r="P18" s="38">
        <f>IF(O18="","",LARGE($H$2:$H$31,ROWS($P$2:P18)))</f>
        <v/>
      </c>
      <c r="Q18" s="2">
        <f>IF(P18="","",TEXT(P18,"0%"))</f>
        <v/>
      </c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</row>
    <row r="19">
      <c r="A19" s="2" t="n">
        <v>18</v>
      </c>
      <c r="B19" s="42">
        <f>IF(A19&gt;$AB$2,"",DATE(YEAR(Tracker!$D$1),MONTH(Tracker!$D$1),A19))</f>
        <v/>
      </c>
      <c r="C19" s="38">
        <f>IF(B19="","",COUNTIF(INDEX(Tracker!$D$3:$AH$32,0,A19),TRUE)/MAX(1,COUNTA(Tracker!$B$3:$B$32)))</f>
        <v/>
      </c>
      <c r="D19" s="38">
        <f>IF(C19="","",AVERAGE(C13:C19))</f>
        <v/>
      </c>
      <c r="E19" s="2">
        <f>IF(B19="","",COUNTIF(INDEX(Tracker!$D$3:$AH$32,0,A19),TRUE))</f>
        <v/>
      </c>
      <c r="F19" s="2">
        <f>COUNTA(Tracker!$B$3:$B$32)</f>
        <v/>
      </c>
      <c r="G19" s="2">
        <f>Summary!B19</f>
        <v/>
      </c>
      <c r="H19" s="38">
        <f>Summary!D19</f>
        <v/>
      </c>
      <c r="I19" s="2">
        <f>Summary!C19</f>
        <v/>
      </c>
      <c r="J19" s="2">
        <f>Summary!F19</f>
        <v/>
      </c>
      <c r="K19" s="2">
        <f>Summary!E19</f>
        <v/>
      </c>
      <c r="L19" s="38">
        <f>IFERROR(INDEX(FILTER(History!$D$2:$D,History!$A$2:$A=$Y$2,History!$B$2:$B=G19),1),"")</f>
        <v/>
      </c>
      <c r="M19" s="43">
        <f>IF(L19="","",H19-L19)</f>
        <v/>
      </c>
      <c r="N19" s="2" t="n"/>
      <c r="O19" s="2">
        <f>IF(ROWS($O$2:O19)&gt;$N$2,"",INDEX($G$2:$G$31,MATCH(LARGE($H$2:$H$31,ROWS($O$2:O19)),$H$2:$H$31,0)))</f>
        <v/>
      </c>
      <c r="P19" s="38">
        <f>IF(O19="","",LARGE($H$2:$H$31,ROWS($P$2:P19)))</f>
        <v/>
      </c>
      <c r="Q19" s="2">
        <f>IF(P19="","",TEXT(P19,"0%"))</f>
        <v/>
      </c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</row>
    <row r="20">
      <c r="A20" s="2" t="n">
        <v>19</v>
      </c>
      <c r="B20" s="42">
        <f>IF(A20&gt;$AB$2,"",DATE(YEAR(Tracker!$D$1),MONTH(Tracker!$D$1),A20))</f>
        <v/>
      </c>
      <c r="C20" s="38">
        <f>IF(B20="","",COUNTIF(INDEX(Tracker!$D$3:$AH$32,0,A20),TRUE)/MAX(1,COUNTA(Tracker!$B$3:$B$32)))</f>
        <v/>
      </c>
      <c r="D20" s="38">
        <f>IF(C20="","",AVERAGE(C14:C20))</f>
        <v/>
      </c>
      <c r="E20" s="2">
        <f>IF(B20="","",COUNTIF(INDEX(Tracker!$D$3:$AH$32,0,A20),TRUE))</f>
        <v/>
      </c>
      <c r="F20" s="2">
        <f>COUNTA(Tracker!$B$3:$B$32)</f>
        <v/>
      </c>
      <c r="G20" s="2">
        <f>Summary!B20</f>
        <v/>
      </c>
      <c r="H20" s="38">
        <f>Summary!D20</f>
        <v/>
      </c>
      <c r="I20" s="2">
        <f>Summary!C20</f>
        <v/>
      </c>
      <c r="J20" s="2">
        <f>Summary!F20</f>
        <v/>
      </c>
      <c r="K20" s="2">
        <f>Summary!E20</f>
        <v/>
      </c>
      <c r="L20" s="38">
        <f>IFERROR(INDEX(FILTER(History!$D$2:$D,History!$A$2:$A=$Y$2,History!$B$2:$B=G20),1),"")</f>
        <v/>
      </c>
      <c r="M20" s="43">
        <f>IF(L20="","",H20-L20)</f>
        <v/>
      </c>
      <c r="N20" s="2" t="n"/>
      <c r="O20" s="2">
        <f>IF(ROWS($O$2:O20)&gt;$N$2,"",INDEX($G$2:$G$31,MATCH(LARGE($H$2:$H$31,ROWS($O$2:O20)),$H$2:$H$31,0)))</f>
        <v/>
      </c>
      <c r="P20" s="38">
        <f>IF(O20="","",LARGE($H$2:$H$31,ROWS($P$2:P20)))</f>
        <v/>
      </c>
      <c r="Q20" s="2">
        <f>IF(P20="","",TEXT(P20,"0%"))</f>
        <v/>
      </c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</row>
    <row r="21">
      <c r="A21" s="2" t="n">
        <v>20</v>
      </c>
      <c r="B21" s="42">
        <f>IF(A21&gt;$AB$2,"",DATE(YEAR(Tracker!$D$1),MONTH(Tracker!$D$1),A21))</f>
        <v/>
      </c>
      <c r="C21" s="38">
        <f>IF(B21="","",COUNTIF(INDEX(Tracker!$D$3:$AH$32,0,A21),TRUE)/MAX(1,COUNTA(Tracker!$B$3:$B$32)))</f>
        <v/>
      </c>
      <c r="D21" s="38">
        <f>IF(C21="","",AVERAGE(C15:C21))</f>
        <v/>
      </c>
      <c r="E21" s="2">
        <f>IF(B21="","",COUNTIF(INDEX(Tracker!$D$3:$AH$32,0,A21),TRUE))</f>
        <v/>
      </c>
      <c r="F21" s="2">
        <f>COUNTA(Tracker!$B$3:$B$32)</f>
        <v/>
      </c>
      <c r="G21" s="2">
        <f>Summary!B21</f>
        <v/>
      </c>
      <c r="H21" s="38">
        <f>Summary!D21</f>
        <v/>
      </c>
      <c r="I21" s="2">
        <f>Summary!C21</f>
        <v/>
      </c>
      <c r="J21" s="2">
        <f>Summary!F21</f>
        <v/>
      </c>
      <c r="K21" s="2">
        <f>Summary!E21</f>
        <v/>
      </c>
      <c r="L21" s="38">
        <f>IFERROR(INDEX(FILTER(History!$D$2:$D,History!$A$2:$A=$Y$2,History!$B$2:$B=G21),1),"")</f>
        <v/>
      </c>
      <c r="M21" s="43">
        <f>IF(L21="","",H21-L21)</f>
        <v/>
      </c>
      <c r="N21" s="2" t="n"/>
      <c r="O21" s="2">
        <f>IF(ROWS($O$2:O21)&gt;$N$2,"",INDEX($G$2:$G$31,MATCH(LARGE($H$2:$H$31,ROWS($O$2:O21)),$H$2:$H$31,0)))</f>
        <v/>
      </c>
      <c r="P21" s="38">
        <f>IF(O21="","",LARGE($H$2:$H$31,ROWS($P$2:P21)))</f>
        <v/>
      </c>
      <c r="Q21" s="2">
        <f>IF(P21="","",TEXT(P21,"0%"))</f>
        <v/>
      </c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</row>
    <row r="22">
      <c r="A22" s="2" t="n">
        <v>21</v>
      </c>
      <c r="B22" s="42">
        <f>IF(A22&gt;$AB$2,"",DATE(YEAR(Tracker!$D$1),MONTH(Tracker!$D$1),A22))</f>
        <v/>
      </c>
      <c r="C22" s="38">
        <f>IF(B22="","",COUNTIF(INDEX(Tracker!$D$3:$AH$32,0,A22),TRUE)/MAX(1,COUNTA(Tracker!$B$3:$B$32)))</f>
        <v/>
      </c>
      <c r="D22" s="38">
        <f>IF(C22="","",AVERAGE(C16:C22))</f>
        <v/>
      </c>
      <c r="E22" s="2">
        <f>IF(B22="","",COUNTIF(INDEX(Tracker!$D$3:$AH$32,0,A22),TRUE))</f>
        <v/>
      </c>
      <c r="F22" s="2">
        <f>COUNTA(Tracker!$B$3:$B$32)</f>
        <v/>
      </c>
      <c r="G22" s="2">
        <f>Summary!B22</f>
        <v/>
      </c>
      <c r="H22" s="38">
        <f>Summary!D22</f>
        <v/>
      </c>
      <c r="I22" s="2">
        <f>Summary!C22</f>
        <v/>
      </c>
      <c r="J22" s="2">
        <f>Summary!F22</f>
        <v/>
      </c>
      <c r="K22" s="2">
        <f>Summary!E22</f>
        <v/>
      </c>
      <c r="L22" s="38">
        <f>IFERROR(INDEX(FILTER(History!$D$2:$D,History!$A$2:$A=$Y$2,History!$B$2:$B=G22),1),"")</f>
        <v/>
      </c>
      <c r="M22" s="43">
        <f>IF(L22="","",H22-L22)</f>
        <v/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</row>
    <row r="23">
      <c r="A23" s="2" t="n">
        <v>22</v>
      </c>
      <c r="B23" s="42">
        <f>IF(A23&gt;$AB$2,"",DATE(YEAR(Tracker!$D$1),MONTH(Tracker!$D$1),A23))</f>
        <v/>
      </c>
      <c r="C23" s="38">
        <f>IF(B23="","",COUNTIF(INDEX(Tracker!$D$3:$AH$32,0,A23),TRUE)/MAX(1,COUNTA(Tracker!$B$3:$B$32)))</f>
        <v/>
      </c>
      <c r="D23" s="38">
        <f>IF(C23="","",AVERAGE(C17:C23))</f>
        <v/>
      </c>
      <c r="E23" s="2">
        <f>IF(B23="","",COUNTIF(INDEX(Tracker!$D$3:$AH$32,0,A23),TRUE))</f>
        <v/>
      </c>
      <c r="F23" s="2">
        <f>COUNTA(Tracker!$B$3:$B$32)</f>
        <v/>
      </c>
      <c r="G23" s="2">
        <f>Summary!B23</f>
        <v/>
      </c>
      <c r="H23" s="38">
        <f>Summary!D23</f>
        <v/>
      </c>
      <c r="I23" s="2">
        <f>Summary!C23</f>
        <v/>
      </c>
      <c r="J23" s="2">
        <f>Summary!F23</f>
        <v/>
      </c>
      <c r="K23" s="2">
        <f>Summary!E23</f>
        <v/>
      </c>
      <c r="L23" s="38">
        <f>IFERROR(INDEX(FILTER(History!$D$2:$D,History!$A$2:$A=$Y$2,History!$B$2:$B=G23),1),"")</f>
        <v/>
      </c>
      <c r="M23" s="43">
        <f>IF(L23="","",H23-L23)</f>
        <v/>
      </c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</row>
    <row r="24">
      <c r="A24" s="2" t="n">
        <v>23</v>
      </c>
      <c r="B24" s="42">
        <f>IF(A24&gt;$AB$2,"",DATE(YEAR(Tracker!$D$1),MONTH(Tracker!$D$1),A24))</f>
        <v/>
      </c>
      <c r="C24" s="38">
        <f>IF(B24="","",COUNTIF(INDEX(Tracker!$D$3:$AH$32,0,A24),TRUE)/MAX(1,COUNTA(Tracker!$B$3:$B$32)))</f>
        <v/>
      </c>
      <c r="D24" s="38">
        <f>IF(C24="","",AVERAGE(C18:C24))</f>
        <v/>
      </c>
      <c r="E24" s="2">
        <f>IF(B24="","",COUNTIF(INDEX(Tracker!$D$3:$AH$32,0,A24),TRUE))</f>
        <v/>
      </c>
      <c r="F24" s="2">
        <f>COUNTA(Tracker!$B$3:$B$32)</f>
        <v/>
      </c>
      <c r="G24" s="2">
        <f>Summary!B24</f>
        <v/>
      </c>
      <c r="H24" s="38">
        <f>Summary!D24</f>
        <v/>
      </c>
      <c r="I24" s="2">
        <f>Summary!C24</f>
        <v/>
      </c>
      <c r="J24" s="2">
        <f>Summary!F24</f>
        <v/>
      </c>
      <c r="K24" s="2">
        <f>Summary!E24</f>
        <v/>
      </c>
      <c r="L24" s="38">
        <f>IFERROR(INDEX(FILTER(History!$D$2:$D,History!$A$2:$A=$Y$2,History!$B$2:$B=G24),1),"")</f>
        <v/>
      </c>
      <c r="M24" s="43">
        <f>IF(L24="","",H24-L24)</f>
        <v/>
      </c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</row>
    <row r="25">
      <c r="A25" s="2" t="n">
        <v>24</v>
      </c>
      <c r="B25" s="42">
        <f>IF(A25&gt;$AB$2,"",DATE(YEAR(Tracker!$D$1),MONTH(Tracker!$D$1),A25))</f>
        <v/>
      </c>
      <c r="C25" s="38">
        <f>IF(B25="","",COUNTIF(INDEX(Tracker!$D$3:$AH$32,0,A25),TRUE)/MAX(1,COUNTA(Tracker!$B$3:$B$32)))</f>
        <v/>
      </c>
      <c r="D25" s="38">
        <f>IF(C25="","",AVERAGE(C19:C25))</f>
        <v/>
      </c>
      <c r="E25" s="2">
        <f>IF(B25="","",COUNTIF(INDEX(Tracker!$D$3:$AH$32,0,A25),TRUE))</f>
        <v/>
      </c>
      <c r="F25" s="2">
        <f>COUNTA(Tracker!$B$3:$B$32)</f>
        <v/>
      </c>
      <c r="G25" s="2">
        <f>Summary!B25</f>
        <v/>
      </c>
      <c r="H25" s="38">
        <f>Summary!D25</f>
        <v/>
      </c>
      <c r="I25" s="2">
        <f>Summary!C25</f>
        <v/>
      </c>
      <c r="J25" s="2">
        <f>Summary!F25</f>
        <v/>
      </c>
      <c r="K25" s="2">
        <f>Summary!E25</f>
        <v/>
      </c>
      <c r="L25" s="38">
        <f>IFERROR(INDEX(FILTER(History!$D$2:$D,History!$A$2:$A=$Y$2,History!$B$2:$B=G25),1),"")</f>
        <v/>
      </c>
      <c r="M25" s="43">
        <f>IF(L25="","",H25-L25)</f>
        <v/>
      </c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</row>
    <row r="26">
      <c r="A26" s="2" t="n">
        <v>25</v>
      </c>
      <c r="B26" s="42">
        <f>IF(A26&gt;$AB$2,"",DATE(YEAR(Tracker!$D$1),MONTH(Tracker!$D$1),A26))</f>
        <v/>
      </c>
      <c r="C26" s="38">
        <f>IF(B26="","",COUNTIF(INDEX(Tracker!$D$3:$AH$32,0,A26),TRUE)/MAX(1,COUNTA(Tracker!$B$3:$B$32)))</f>
        <v/>
      </c>
      <c r="D26" s="38">
        <f>IF(C26="","",AVERAGE(C20:C26))</f>
        <v/>
      </c>
      <c r="E26" s="2">
        <f>IF(B26="","",COUNTIF(INDEX(Tracker!$D$3:$AH$32,0,A26),TRUE))</f>
        <v/>
      </c>
      <c r="F26" s="2">
        <f>COUNTA(Tracker!$B$3:$B$32)</f>
        <v/>
      </c>
      <c r="G26" s="2">
        <f>Summary!B26</f>
        <v/>
      </c>
      <c r="H26" s="38">
        <f>Summary!D26</f>
        <v/>
      </c>
      <c r="I26" s="2">
        <f>Summary!C26</f>
        <v/>
      </c>
      <c r="J26" s="2">
        <f>Summary!F26</f>
        <v/>
      </c>
      <c r="K26" s="2">
        <f>Summary!E26</f>
        <v/>
      </c>
      <c r="L26" s="38">
        <f>IFERROR(INDEX(FILTER(History!$D$2:$D,History!$A$2:$A=$Y$2,History!$B$2:$B=G26),1),"")</f>
        <v/>
      </c>
      <c r="M26" s="43">
        <f>IF(L26="","",H26-L26)</f>
        <v/>
      </c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</row>
    <row r="27">
      <c r="A27" s="2" t="n">
        <v>26</v>
      </c>
      <c r="B27" s="42">
        <f>IF(A27&gt;$AB$2,"",DATE(YEAR(Tracker!$D$1),MONTH(Tracker!$D$1),A27))</f>
        <v/>
      </c>
      <c r="C27" s="38">
        <f>IF(B27="","",COUNTIF(INDEX(Tracker!$D$3:$AH$32,0,A27),TRUE)/MAX(1,COUNTA(Tracker!$B$3:$B$32)))</f>
        <v/>
      </c>
      <c r="D27" s="38">
        <f>IF(C27="","",AVERAGE(C21:C27))</f>
        <v/>
      </c>
      <c r="E27" s="2">
        <f>IF(B27="","",COUNTIF(INDEX(Tracker!$D$3:$AH$32,0,A27),TRUE))</f>
        <v/>
      </c>
      <c r="F27" s="2">
        <f>COUNTA(Tracker!$B$3:$B$32)</f>
        <v/>
      </c>
      <c r="G27" s="2">
        <f>Summary!B27</f>
        <v/>
      </c>
      <c r="H27" s="38">
        <f>Summary!D27</f>
        <v/>
      </c>
      <c r="I27" s="2">
        <f>Summary!C27</f>
        <v/>
      </c>
      <c r="J27" s="2">
        <f>Summary!F27</f>
        <v/>
      </c>
      <c r="K27" s="2">
        <f>Summary!E27</f>
        <v/>
      </c>
      <c r="L27" s="38">
        <f>IFERROR(INDEX(FILTER(History!$D$2:$D,History!$A$2:$A=$Y$2,History!$B$2:$B=G27),1),"")</f>
        <v/>
      </c>
      <c r="M27" s="43">
        <f>IF(L27="","",H27-L27)</f>
        <v/>
      </c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</row>
    <row r="28">
      <c r="A28" s="2" t="n">
        <v>27</v>
      </c>
      <c r="B28" s="42">
        <f>IF(A28&gt;$AB$2,"",DATE(YEAR(Tracker!$D$1),MONTH(Tracker!$D$1),A28))</f>
        <v/>
      </c>
      <c r="C28" s="38">
        <f>IF(B28="","",COUNTIF(INDEX(Tracker!$D$3:$AH$32,0,A28),TRUE)/MAX(1,COUNTA(Tracker!$B$3:$B$32)))</f>
        <v/>
      </c>
      <c r="D28" s="38">
        <f>IF(C28="","",AVERAGE(C22:C28))</f>
        <v/>
      </c>
      <c r="E28" s="2">
        <f>IF(B28="","",COUNTIF(INDEX(Tracker!$D$3:$AH$32,0,A28),TRUE))</f>
        <v/>
      </c>
      <c r="F28" s="2">
        <f>COUNTA(Tracker!$B$3:$B$32)</f>
        <v/>
      </c>
      <c r="G28" s="2">
        <f>Summary!B28</f>
        <v/>
      </c>
      <c r="H28" s="38">
        <f>Summary!D28</f>
        <v/>
      </c>
      <c r="I28" s="2">
        <f>Summary!C28</f>
        <v/>
      </c>
      <c r="J28" s="2">
        <f>Summary!F28</f>
        <v/>
      </c>
      <c r="K28" s="2">
        <f>Summary!E28</f>
        <v/>
      </c>
      <c r="L28" s="38">
        <f>IFERROR(INDEX(FILTER(History!$D$2:$D,History!$A$2:$A=$Y$2,History!$B$2:$B=G28),1),"")</f>
        <v/>
      </c>
      <c r="M28" s="43">
        <f>IF(L28="","",H28-L28)</f>
        <v/>
      </c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</row>
    <row r="29">
      <c r="A29" s="2" t="n">
        <v>28</v>
      </c>
      <c r="B29" s="42">
        <f>IF(A29&gt;$AB$2,"",DATE(YEAR(Tracker!$D$1),MONTH(Tracker!$D$1),A29))</f>
        <v/>
      </c>
      <c r="C29" s="38">
        <f>IF(B29="","",COUNTIF(INDEX(Tracker!$D$3:$AH$32,0,A29),TRUE)/MAX(1,COUNTA(Tracker!$B$3:$B$32)))</f>
        <v/>
      </c>
      <c r="D29" s="38">
        <f>IF(C29="","",AVERAGE(C23:C29))</f>
        <v/>
      </c>
      <c r="E29" s="2">
        <f>IF(B29="","",COUNTIF(INDEX(Tracker!$D$3:$AH$32,0,A29),TRUE))</f>
        <v/>
      </c>
      <c r="F29" s="2">
        <f>COUNTA(Tracker!$B$3:$B$32)</f>
        <v/>
      </c>
      <c r="G29" s="2">
        <f>Summary!B29</f>
        <v/>
      </c>
      <c r="H29" s="38">
        <f>Summary!D29</f>
        <v/>
      </c>
      <c r="I29" s="2">
        <f>Summary!C29</f>
        <v/>
      </c>
      <c r="J29" s="2">
        <f>Summary!F29</f>
        <v/>
      </c>
      <c r="K29" s="2">
        <f>Summary!E29</f>
        <v/>
      </c>
      <c r="L29" s="38">
        <f>IFERROR(INDEX(FILTER(History!$D$2:$D,History!$A$2:$A=$Y$2,History!$B$2:$B=G29),1),"")</f>
        <v/>
      </c>
      <c r="M29" s="43">
        <f>IF(L29="","",H29-L29)</f>
        <v/>
      </c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</row>
    <row r="30">
      <c r="A30" s="2" t="n">
        <v>29</v>
      </c>
      <c r="B30" s="42">
        <f>IF(A30&gt;$AB$2,"",DATE(YEAR(Tracker!$D$1),MONTH(Tracker!$D$1),A30))</f>
        <v/>
      </c>
      <c r="C30" s="38">
        <f>IF(B30="","",COUNTIF(INDEX(Tracker!$D$3:$AH$32,0,A30),TRUE)/MAX(1,COUNTA(Tracker!$B$3:$B$32)))</f>
        <v/>
      </c>
      <c r="D30" s="38">
        <f>IF(C30="","",AVERAGE(C24:C30))</f>
        <v/>
      </c>
      <c r="E30" s="2">
        <f>IF(B30="","",COUNTIF(INDEX(Tracker!$D$3:$AH$32,0,A30),TRUE))</f>
        <v/>
      </c>
      <c r="F30" s="2">
        <f>COUNTA(Tracker!$B$3:$B$32)</f>
        <v/>
      </c>
      <c r="G30" s="2">
        <f>Summary!B30</f>
        <v/>
      </c>
      <c r="H30" s="38">
        <f>Summary!D30</f>
        <v/>
      </c>
      <c r="I30" s="2">
        <f>Summary!C30</f>
        <v/>
      </c>
      <c r="J30" s="2">
        <f>Summary!F30</f>
        <v/>
      </c>
      <c r="K30" s="2">
        <f>Summary!E30</f>
        <v/>
      </c>
      <c r="L30" s="38">
        <f>IFERROR(INDEX(FILTER(History!$D$2:$D,History!$A$2:$A=$Y$2,History!$B$2:$B=G30),1),"")</f>
        <v/>
      </c>
      <c r="M30" s="43">
        <f>IF(L30="","",H30-L30)</f>
        <v/>
      </c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</row>
    <row r="31">
      <c r="A31" s="2" t="n">
        <v>30</v>
      </c>
      <c r="B31" s="42">
        <f>IF(A31&gt;$AB$2,"",DATE(YEAR(Tracker!$D$1),MONTH(Tracker!$D$1),A31))</f>
        <v/>
      </c>
      <c r="C31" s="38">
        <f>IF(B31="","",COUNTIF(INDEX(Tracker!$D$3:$AH$32,0,A31),TRUE)/MAX(1,COUNTA(Tracker!$B$3:$B$32)))</f>
        <v/>
      </c>
      <c r="D31" s="38">
        <f>IF(C31="","",AVERAGE(C25:C31))</f>
        <v/>
      </c>
      <c r="E31" s="2">
        <f>IF(B31="","",COUNTIF(INDEX(Tracker!$D$3:$AH$32,0,A31),TRUE))</f>
        <v/>
      </c>
      <c r="F31" s="2">
        <f>COUNTA(Tracker!$B$3:$B$32)</f>
        <v/>
      </c>
      <c r="G31" s="2">
        <f>Summary!B31</f>
        <v/>
      </c>
      <c r="H31" s="38">
        <f>Summary!D31</f>
        <v/>
      </c>
      <c r="I31" s="2">
        <f>Summary!C31</f>
        <v/>
      </c>
      <c r="J31" s="2">
        <f>Summary!F31</f>
        <v/>
      </c>
      <c r="K31" s="2">
        <f>Summary!E31</f>
        <v/>
      </c>
      <c r="L31" s="38">
        <f>IFERROR(INDEX(FILTER(History!$D$2:$D,History!$A$2:$A=$Y$2,History!$B$2:$B=G31),1),"")</f>
        <v/>
      </c>
      <c r="M31" s="43">
        <f>IF(L31="","",H31-L31)</f>
        <v/>
      </c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</row>
    <row r="32">
      <c r="A32" s="2" t="n">
        <v>31</v>
      </c>
      <c r="B32" s="42">
        <f>IF(A32&gt;$AB$2,"",DATE(YEAR(Tracker!$D$1),MONTH(Tracker!$D$1),A32))</f>
        <v/>
      </c>
      <c r="C32" s="38">
        <f>IF(B32="","",COUNTIF(INDEX(Tracker!$D$3:$AH$32,0,A32),TRUE)/MAX(1,COUNTA(Tracker!$B$3:$B$32)))</f>
        <v/>
      </c>
      <c r="D32" s="38">
        <f>IF(C32="","",AVERAGE(C26:C32))</f>
        <v/>
      </c>
      <c r="E32" s="2">
        <f>IF(B32="","",COUNTIF(INDEX(Tracker!$D$3:$AH$32,0,A32),TRUE))</f>
        <v/>
      </c>
      <c r="F32" s="2">
        <f>COUNTA(Tracker!$B$3:$B$32)</f>
        <v/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G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1">
      <c r="A1" s="44" t="inlineStr">
        <is>
          <t>Month Start</t>
        </is>
      </c>
      <c r="B1" s="44" t="inlineStr">
        <is>
          <t>Habit</t>
        </is>
      </c>
      <c r="C1" s="44" t="inlineStr">
        <is>
          <t>Category</t>
        </is>
      </c>
      <c r="D1" s="44" t="inlineStr">
        <is>
          <t>Completion %</t>
        </is>
      </c>
      <c r="E1" s="44" t="inlineStr">
        <is>
          <t>Longest Streak</t>
        </is>
      </c>
      <c r="F1" s="44" t="inlineStr">
        <is>
          <t>Current Streak</t>
        </is>
      </c>
      <c r="G1" s="44" t="inlineStr">
        <is>
          <t>Archived 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207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5" t="inlineStr">
        <is>
          <t>Paste this into Extensions &gt; Apps Script in Google Sheets</t>
        </is>
      </c>
    </row>
    <row r="3">
      <c r="A3" s="45" t="inlineStr">
        <is>
          <t>function onOpen() {</t>
        </is>
      </c>
    </row>
    <row r="4">
      <c r="A4" s="45" t="inlineStr">
        <is>
          <t xml:space="preserve">  SpreadsheetApp.getUi()</t>
        </is>
      </c>
    </row>
    <row r="5">
      <c r="A5" s="45" t="inlineStr">
        <is>
          <t xml:space="preserve">    .createMenu('Tracker Tools')</t>
        </is>
      </c>
    </row>
    <row r="6">
      <c r="A6" s="45" t="inlineStr">
        <is>
          <t xml:space="preserve">    .addItem('Setup / Refresh dashboard', 'setupHabitDashboard')</t>
        </is>
      </c>
    </row>
    <row r="7">
      <c r="A7" s="45" t="inlineStr">
        <is>
          <t xml:space="preserve">    .addItem('Archive current month', 'archiveCurrentMonth')</t>
        </is>
      </c>
    </row>
    <row r="8">
      <c r="A8" s="45" t="inlineStr">
        <is>
          <t xml:space="preserve">    .addToUi();</t>
        </is>
      </c>
    </row>
    <row r="9">
      <c r="A9" s="45" t="inlineStr">
        <is>
          <t xml:space="preserve">  ensureNamedRanges_();</t>
        </is>
      </c>
    </row>
    <row r="10">
      <c r="A10" s="45" t="inlineStr">
        <is>
          <t>}</t>
        </is>
      </c>
    </row>
    <row r="11">
      <c r="A11" s="45" t="inlineStr"/>
    </row>
    <row r="12">
      <c r="A12" s="45" t="inlineStr">
        <is>
          <t>function onEdit(e) {</t>
        </is>
      </c>
    </row>
    <row r="13">
      <c r="A13" s="45" t="inlineStr">
        <is>
          <t xml:space="preserve">  if (!e || !e.range) return;</t>
        </is>
      </c>
    </row>
    <row r="14">
      <c r="A14" s="45" t="inlineStr">
        <is>
          <t xml:space="preserve">  const sheet = e.range.getSheet();</t>
        </is>
      </c>
    </row>
    <row r="15">
      <c r="A15" s="45" t="inlineStr">
        <is>
          <t xml:space="preserve">  if (sheet.getName() !== 'Tracker') return;</t>
        </is>
      </c>
    </row>
    <row r="16">
      <c r="A16" s="45" t="inlineStr">
        <is>
          <t xml:space="preserve">  if (e.range.getA1Notation() === 'D1') {</t>
        </is>
      </c>
    </row>
    <row r="17">
      <c r="A17" s="45" t="inlineStr">
        <is>
          <t xml:space="preserve">    updateTrackerMonth_();</t>
        </is>
      </c>
    </row>
    <row r="18">
      <c r="A18" s="45" t="inlineStr">
        <is>
          <t xml:space="preserve">    ensureNamedRanges_();</t>
        </is>
      </c>
    </row>
    <row r="19">
      <c r="A19" s="45" t="inlineStr">
        <is>
          <t xml:space="preserve">    buildDashboardCharts_();</t>
        </is>
      </c>
    </row>
    <row r="20">
      <c r="A20" s="45" t="inlineStr">
        <is>
          <t xml:space="preserve">  }</t>
        </is>
      </c>
    </row>
    <row r="21">
      <c r="A21" s="45" t="inlineStr">
        <is>
          <t>}</t>
        </is>
      </c>
    </row>
    <row r="22">
      <c r="A22" s="45" t="inlineStr"/>
    </row>
    <row r="23">
      <c r="A23" s="45" t="inlineStr">
        <is>
          <t>function setupHabitDashboard() {</t>
        </is>
      </c>
    </row>
    <row r="24">
      <c r="A24" s="45" t="inlineStr">
        <is>
          <t xml:space="preserve">  updateTrackerMonth_();</t>
        </is>
      </c>
    </row>
    <row r="25">
      <c r="A25" s="45" t="inlineStr">
        <is>
          <t xml:space="preserve">  applyTrackerCheckboxes_();</t>
        </is>
      </c>
    </row>
    <row r="26">
      <c r="A26" s="45" t="inlineStr">
        <is>
          <t xml:space="preserve">  ensureNamedRanges_();</t>
        </is>
      </c>
    </row>
    <row r="27">
      <c r="A27" s="45" t="inlineStr">
        <is>
          <t xml:space="preserve">  buildDashboardCharts_();</t>
        </is>
      </c>
    </row>
    <row r="28">
      <c r="A28" s="45" t="inlineStr">
        <is>
          <t>}</t>
        </is>
      </c>
    </row>
    <row r="29">
      <c r="A29" s="45" t="inlineStr"/>
    </row>
    <row r="30">
      <c r="A30" s="45" t="inlineStr">
        <is>
          <t>function updateTrackerMonth_() {</t>
        </is>
      </c>
    </row>
    <row r="31">
      <c r="A31" s="45" t="inlineStr">
        <is>
          <t xml:space="preserve">  const ss = SpreadsheetApp.getActive();</t>
        </is>
      </c>
    </row>
    <row r="32">
      <c r="A32" s="45" t="inlineStr">
        <is>
          <t xml:space="preserve">  const tracker = ss.getSheetByName('Tracker');</t>
        </is>
      </c>
    </row>
    <row r="33">
      <c r="A33" s="45" t="inlineStr">
        <is>
          <t xml:space="preserve">  const dashboard = ss.getSheetByName('Dashboard');</t>
        </is>
      </c>
    </row>
    <row r="34">
      <c r="A34" s="45" t="inlineStr">
        <is>
          <t xml:space="preserve">  const monthValue = tracker.getRange('D1').getValue();</t>
        </is>
      </c>
    </row>
    <row r="35">
      <c r="A35" s="45" t="inlineStr">
        <is>
          <t xml:space="preserve">  const monthStart = new Date(monthValue);</t>
        </is>
      </c>
    </row>
    <row r="36">
      <c r="A36" s="45" t="inlineStr">
        <is>
          <t xml:space="preserve">  if (!monthValue || Number.isNaN(monthStart.getTime())) return;</t>
        </is>
      </c>
    </row>
    <row r="37">
      <c r="A37" s="45" t="inlineStr"/>
    </row>
    <row r="38">
      <c r="A38" s="45" t="inlineStr">
        <is>
          <t xml:space="preserve">  monthStart.setDate(1);</t>
        </is>
      </c>
    </row>
    <row r="39">
      <c r="A39" s="45" t="inlineStr">
        <is>
          <t xml:space="preserve">  tracker.getRange('D1').setValue(monthStart).setNumberFormat('mmmm yyyy');</t>
        </is>
      </c>
    </row>
    <row r="40">
      <c r="A40" s="45" t="inlineStr">
        <is>
          <t xml:space="preserve">  const daysInMonth = new Date(monthStart.getFullYear(), monthStart.getMonth() + 1, 0).getDate();</t>
        </is>
      </c>
    </row>
    <row r="41">
      <c r="A41" s="45" t="inlineStr"/>
    </row>
    <row r="42">
      <c r="A42" s="45" t="inlineStr">
        <is>
          <t xml:space="preserve">  const headerValues = [];</t>
        </is>
      </c>
    </row>
    <row r="43">
      <c r="A43" s="45" t="inlineStr">
        <is>
          <t xml:space="preserve">  for (let i = 1; i &lt;= 31; i += 1) {</t>
        </is>
      </c>
    </row>
    <row r="44">
      <c r="A44" s="45" t="inlineStr">
        <is>
          <t xml:space="preserve">    if (i &lt;= daysInMonth) {</t>
        </is>
      </c>
    </row>
    <row r="45">
      <c r="A45" s="45" t="inlineStr">
        <is>
          <t xml:space="preserve">      headerValues.push([new Date(monthStart.getFullYear(), monthStart.getMonth(), i)]);</t>
        </is>
      </c>
    </row>
    <row r="46">
      <c r="A46" s="45" t="inlineStr">
        <is>
          <t xml:space="preserve">    } else {</t>
        </is>
      </c>
    </row>
    <row r="47">
      <c r="A47" s="45" t="inlineStr">
        <is>
          <t xml:space="preserve">      headerValues.push(['']);</t>
        </is>
      </c>
    </row>
    <row r="48">
      <c r="A48" s="45" t="inlineStr">
        <is>
          <t xml:space="preserve">    }</t>
        </is>
      </c>
    </row>
    <row r="49">
      <c r="A49" s="45" t="inlineStr">
        <is>
          <t xml:space="preserve">  }</t>
        </is>
      </c>
    </row>
    <row r="50">
      <c r="A50" s="45" t="inlineStr"/>
    </row>
    <row r="51">
      <c r="A51" s="45" t="inlineStr">
        <is>
          <t xml:space="preserve">  tracker.getRange(2, 4, 1, 31).setValues([headerValues.map(v =&gt; v[0])]).setNumberFormat('d');</t>
        </is>
      </c>
    </row>
    <row r="52">
      <c r="A52" s="45" t="inlineStr">
        <is>
          <t xml:space="preserve">  tracker.showColumns(4, 31);</t>
        </is>
      </c>
    </row>
    <row r="53">
      <c r="A53" s="45" t="inlineStr">
        <is>
          <t xml:space="preserve">  if (daysInMonth &lt; 31) tracker.hideColumns(4 + daysInMonth, 31 - daysInMonth);</t>
        </is>
      </c>
    </row>
    <row r="54">
      <c r="A54" s="45" t="inlineStr"/>
    </row>
    <row r="55">
      <c r="A55" s="45" t="inlineStr">
        <is>
          <t xml:space="preserve">  applyTrackerCheckboxes_();</t>
        </is>
      </c>
    </row>
    <row r="56">
      <c r="A56" s="45" t="inlineStr">
        <is>
          <t xml:space="preserve">  dashboard.getRange('A1').setFormula('="Monthly Habit Dashboard — "&amp;TEXT(Tracker!D1,"MMMM YYYY")');</t>
        </is>
      </c>
    </row>
    <row r="57">
      <c r="A57" s="45" t="inlineStr">
        <is>
          <t>}</t>
        </is>
      </c>
    </row>
    <row r="58">
      <c r="A58" s="45" t="inlineStr"/>
    </row>
    <row r="59">
      <c r="A59" s="45" t="inlineStr">
        <is>
          <t>function applyTrackerCheckboxes_() {</t>
        </is>
      </c>
    </row>
    <row r="60">
      <c r="A60" s="45" t="inlineStr">
        <is>
          <t xml:space="preserve">  const tracker = SpreadsheetApp.getActive().getSheetByName('Tracker');</t>
        </is>
      </c>
    </row>
    <row r="61">
      <c r="A61" s="45" t="inlineStr">
        <is>
          <t xml:space="preserve">  const range = tracker.getRange('D3:AH32');</t>
        </is>
      </c>
    </row>
    <row r="62">
      <c r="A62" s="45" t="inlineStr">
        <is>
          <t xml:space="preserve">  range.insertCheckboxes();</t>
        </is>
      </c>
    </row>
    <row r="63">
      <c r="A63" s="45" t="inlineStr">
        <is>
          <t>}</t>
        </is>
      </c>
    </row>
    <row r="64">
      <c r="A64" s="45" t="inlineStr"/>
    </row>
    <row r="65">
      <c r="A65" s="45" t="inlineStr">
        <is>
          <t>function ensureNamedRanges_() {</t>
        </is>
      </c>
    </row>
    <row r="66">
      <c r="A66" s="45" t="inlineStr">
        <is>
          <t xml:space="preserve">  const ss = SpreadsheetApp.getActive();</t>
        </is>
      </c>
    </row>
    <row r="67">
      <c r="A67" s="45" t="inlineStr">
        <is>
          <t xml:space="preserve">  const tracker = ss.getSheetByName('Tracker');</t>
        </is>
      </c>
    </row>
    <row r="68">
      <c r="A68" s="45" t="inlineStr">
        <is>
          <t xml:space="preserve">  const summary = ss.getSheetByName('Summary');</t>
        </is>
      </c>
    </row>
    <row r="69">
      <c r="A69" s="45" t="inlineStr">
        <is>
          <t xml:space="preserve">  const dashboard = ss.getSheetByName('Dashboard');</t>
        </is>
      </c>
    </row>
    <row r="70">
      <c r="A70" s="45" t="inlineStr"/>
    </row>
    <row r="71">
      <c r="A71" s="45" t="inlineStr">
        <is>
          <t xml:space="preserve">  const namedRanges = [</t>
        </is>
      </c>
    </row>
    <row r="72">
      <c r="A72" s="45" t="inlineStr">
        <is>
          <t xml:space="preserve">    ['Tracker_Month', tracker.getRange('D1')],</t>
        </is>
      </c>
    </row>
    <row r="73">
      <c r="A73" s="45" t="inlineStr">
        <is>
          <t xml:space="preserve">    ['Tracker_Dates', tracker.getRange('D2:AH2')],</t>
        </is>
      </c>
    </row>
    <row r="74">
      <c r="A74" s="45" t="inlineStr">
        <is>
          <t xml:space="preserve">    ['Tracker_Habits', tracker.getRange('B3:B32')],</t>
        </is>
      </c>
    </row>
    <row r="75">
      <c r="A75" s="45" t="inlineStr">
        <is>
          <t xml:space="preserve">    ['Tracker_Categories', tracker.getRange('C3:C32')],</t>
        </is>
      </c>
    </row>
    <row r="76">
      <c r="A76" s="45" t="inlineStr">
        <is>
          <t xml:space="preserve">    ['Tracker_DataRange', tracker.getRange('D3:AH32')],</t>
        </is>
      </c>
    </row>
    <row r="77">
      <c r="A77" s="45" t="inlineStr">
        <is>
          <t xml:space="preserve">    ['Summary_Progress', summary.getRange('D2:D31')],</t>
        </is>
      </c>
    </row>
    <row r="78">
      <c r="A78" s="45" t="inlineStr">
        <is>
          <t xml:space="preserve">    ['Dashboard_TopN', dashboard.getRange('Q11')],</t>
        </is>
      </c>
    </row>
    <row r="79">
      <c r="A79" s="45" t="inlineStr">
        <is>
          <t xml:space="preserve">  ];</t>
        </is>
      </c>
    </row>
    <row r="80">
      <c r="A80" s="45" t="inlineStr"/>
    </row>
    <row r="81">
      <c r="A81" s="45" t="inlineStr">
        <is>
          <t xml:space="preserve">  namedRanges.forEach(([name, range]) =&gt; {</t>
        </is>
      </c>
    </row>
    <row r="82">
      <c r="A82" s="45" t="inlineStr">
        <is>
          <t xml:space="preserve">    const existing = ss.getNamedRanges().find(item =&gt; item.getName() === name);</t>
        </is>
      </c>
    </row>
    <row r="83">
      <c r="A83" s="45" t="inlineStr">
        <is>
          <t xml:space="preserve">    if (existing) {</t>
        </is>
      </c>
    </row>
    <row r="84">
      <c r="A84" s="45" t="inlineStr">
        <is>
          <t xml:space="preserve">      existing.remove();</t>
        </is>
      </c>
    </row>
    <row r="85">
      <c r="A85" s="45" t="inlineStr">
        <is>
          <t xml:space="preserve">    }</t>
        </is>
      </c>
    </row>
    <row r="86">
      <c r="A86" s="45" t="inlineStr">
        <is>
          <t xml:space="preserve">    ss.setNamedRange(name, range);</t>
        </is>
      </c>
    </row>
    <row r="87">
      <c r="A87" s="45" t="inlineStr">
        <is>
          <t xml:space="preserve">  });</t>
        </is>
      </c>
    </row>
    <row r="88">
      <c r="A88" s="45" t="inlineStr">
        <is>
          <t>}</t>
        </is>
      </c>
    </row>
    <row r="89">
      <c r="A89" s="45" t="inlineStr"/>
    </row>
    <row r="90">
      <c r="A90" s="45" t="inlineStr">
        <is>
          <t>function archiveCurrentMonth() {</t>
        </is>
      </c>
    </row>
    <row r="91">
      <c r="A91" s="45" t="inlineStr">
        <is>
          <t xml:space="preserve">  const ss = SpreadsheetApp.getActive();</t>
        </is>
      </c>
    </row>
    <row r="92">
      <c r="A92" s="45" t="inlineStr">
        <is>
          <t xml:space="preserve">  const tracker = ss.getSheetByName('Tracker');</t>
        </is>
      </c>
    </row>
    <row r="93">
      <c r="A93" s="45" t="inlineStr">
        <is>
          <t xml:space="preserve">  const summary = ss.getSheetByName('Summary');</t>
        </is>
      </c>
    </row>
    <row r="94">
      <c r="A94" s="45" t="inlineStr">
        <is>
          <t xml:space="preserve">  const history = ss.getSheetByName('History');</t>
        </is>
      </c>
    </row>
    <row r="95">
      <c r="A95" s="45" t="inlineStr">
        <is>
          <t xml:space="preserve">  const monthStart = tracker.getRange('D1').getValue();</t>
        </is>
      </c>
    </row>
    <row r="96">
      <c r="A96" s="45" t="inlineStr">
        <is>
          <t xml:space="preserve">  if (!monthStart) return;</t>
        </is>
      </c>
    </row>
    <row r="97">
      <c r="A97" s="45" t="inlineStr"/>
    </row>
    <row r="98">
      <c r="A98" s="45" t="inlineStr">
        <is>
          <t xml:space="preserve">  const existing = history.getDataRange().getValues();</t>
        </is>
      </c>
    </row>
    <row r="99">
      <c r="A99" s="45" t="inlineStr">
        <is>
          <t xml:space="preserve">  const stamp = new Date(monthStart);</t>
        </is>
      </c>
    </row>
    <row r="100">
      <c r="A100" s="45" t="inlineStr">
        <is>
          <t xml:space="preserve">  stamp.setDate(1);</t>
        </is>
      </c>
    </row>
    <row r="101">
      <c r="A101" s="45" t="inlineStr">
        <is>
          <t xml:space="preserve">  const stampKey = Utilities.formatDate(stamp, Session.getScriptTimeZone(), 'yyyy-MM-dd');</t>
        </is>
      </c>
    </row>
    <row r="102">
      <c r="A102" s="45" t="inlineStr"/>
    </row>
    <row r="103">
      <c r="A103" s="45" t="inlineStr">
        <is>
          <t xml:space="preserve">  const rows = summary.getRange('B2:F31').getValues()</t>
        </is>
      </c>
    </row>
    <row r="104">
      <c r="A104" s="45" t="inlineStr">
        <is>
          <t xml:space="preserve">    .filter(row =&gt; row[0])</t>
        </is>
      </c>
    </row>
    <row r="105">
      <c r="A105" s="45" t="inlineStr">
        <is>
          <t xml:space="preserve">    .map(row =&gt; [stamp, row[0], row[1], row[2], row[3], row[4], new Date()]);</t>
        </is>
      </c>
    </row>
    <row r="106">
      <c r="A106" s="45" t="inlineStr"/>
    </row>
    <row r="107">
      <c r="A107" s="45" t="inlineStr">
        <is>
          <t xml:space="preserve">  const alreadyArchived = existing.some((row, index) =&gt; {</t>
        </is>
      </c>
    </row>
    <row r="108">
      <c r="A108" s="45" t="inlineStr">
        <is>
          <t xml:space="preserve">    if (index === 0) return false;</t>
        </is>
      </c>
    </row>
    <row r="109">
      <c r="A109" s="45" t="inlineStr">
        <is>
          <t xml:space="preserve">    return Utilities.formatDate(new Date(row[0]), Session.getScriptTimeZone(), 'yyyy-MM-dd') === stampKey;</t>
        </is>
      </c>
    </row>
    <row r="110">
      <c r="A110" s="45" t="inlineStr">
        <is>
          <t xml:space="preserve">  });</t>
        </is>
      </c>
    </row>
    <row r="111">
      <c r="A111" s="45" t="inlineStr"/>
    </row>
    <row r="112">
      <c r="A112" s="45" t="inlineStr">
        <is>
          <t xml:space="preserve">  if (!alreadyArchived &amp;&amp; rows.length) {</t>
        </is>
      </c>
    </row>
    <row r="113">
      <c r="A113" s="45" t="inlineStr">
        <is>
          <t xml:space="preserve">    history.getRange(history.getLastRow() + 1, 1, rows.length, rows[0].length).setValues(rows);</t>
        </is>
      </c>
    </row>
    <row r="114">
      <c r="A114" s="45" t="inlineStr">
        <is>
          <t xml:space="preserve">  }</t>
        </is>
      </c>
    </row>
    <row r="115">
      <c r="A115" s="45" t="inlineStr">
        <is>
          <t>}</t>
        </is>
      </c>
    </row>
    <row r="116">
      <c r="A116" s="45" t="inlineStr"/>
    </row>
    <row r="117">
      <c r="A117" s="45" t="inlineStr">
        <is>
          <t>function buildDashboardCharts_() {</t>
        </is>
      </c>
    </row>
    <row r="118">
      <c r="A118" s="45" t="inlineStr">
        <is>
          <t xml:space="preserve">  const ss = SpreadsheetApp.getActive();</t>
        </is>
      </c>
    </row>
    <row r="119">
      <c r="A119" s="45" t="inlineStr">
        <is>
          <t xml:space="preserve">  const dashboard = ss.getSheetByName('Dashboard');</t>
        </is>
      </c>
    </row>
    <row r="120">
      <c r="A120" s="45" t="inlineStr">
        <is>
          <t xml:space="preserve">  const helper = ss.getSheetByName('Helper');</t>
        </is>
      </c>
    </row>
    <row r="121">
      <c r="A121" s="45" t="inlineStr"/>
    </row>
    <row r="122">
      <c r="A122" s="45" t="inlineStr">
        <is>
          <t xml:space="preserve">  dashboard.getCharts().forEach(chart =&gt; dashboard.removeChart(chart));</t>
        </is>
      </c>
    </row>
    <row r="123">
      <c r="A123" s="45" t="inlineStr"/>
    </row>
    <row r="124">
      <c r="A124" s="45" t="inlineStr">
        <is>
          <t xml:space="preserve">  const lineChart = dashboard.newChart()</t>
        </is>
      </c>
    </row>
    <row r="125">
      <c r="A125" s="45" t="inlineStr">
        <is>
          <t xml:space="preserve">    .asLineChart()</t>
        </is>
      </c>
    </row>
    <row r="126">
      <c r="A126" s="45" t="inlineStr">
        <is>
          <t xml:space="preserve">    .addRange(helper.getRange('B1:D32'))</t>
        </is>
      </c>
    </row>
    <row r="127">
      <c r="A127" s="45" t="inlineStr">
        <is>
          <t xml:space="preserve">    .setPosition(10, 1, 0, 0)</t>
        </is>
      </c>
    </row>
    <row r="128">
      <c r="A128" s="45" t="inlineStr">
        <is>
          <t xml:space="preserve">    .setNumHeaders(1)</t>
        </is>
      </c>
    </row>
    <row r="129">
      <c r="A129" s="45" t="inlineStr">
        <is>
          <t xml:space="preserve">    .setOption('title', 'Monthly Completion Trend')</t>
        </is>
      </c>
    </row>
    <row r="130">
      <c r="A130" s="45" t="inlineStr">
        <is>
          <t xml:space="preserve">    .setOption('curveType', 'function')</t>
        </is>
      </c>
    </row>
    <row r="131">
      <c r="A131" s="45" t="inlineStr">
        <is>
          <t xml:space="preserve">    .setOption('legend.position', 'bottom')</t>
        </is>
      </c>
    </row>
    <row r="132">
      <c r="A132" s="45" t="inlineStr">
        <is>
          <t xml:space="preserve">    .setOption('pointSize', 5)</t>
        </is>
      </c>
    </row>
    <row r="133">
      <c r="A133" s="45" t="inlineStr">
        <is>
          <t xml:space="preserve">    .setOption('hAxis.title', 'Day')</t>
        </is>
      </c>
    </row>
    <row r="134">
      <c r="A134" s="45" t="inlineStr">
        <is>
          <t xml:space="preserve">    .setOption('vAxis.title', 'Completion %')</t>
        </is>
      </c>
    </row>
    <row r="135">
      <c r="A135" s="45" t="inlineStr">
        <is>
          <t xml:space="preserve">    .setOption('vAxis.viewWindow.min', 0)</t>
        </is>
      </c>
    </row>
    <row r="136">
      <c r="A136" s="45" t="inlineStr">
        <is>
          <t xml:space="preserve">    .setOption('vAxis.viewWindow.max', 1)</t>
        </is>
      </c>
    </row>
    <row r="137">
      <c r="A137" s="45" t="inlineStr">
        <is>
          <t xml:space="preserve">    .setOption('chartArea', {left: 60, top: 40, width: '78%', height: '70%'})</t>
        </is>
      </c>
    </row>
    <row r="138">
      <c r="A138" s="45" t="inlineStr">
        <is>
          <t xml:space="preserve">    .setOption('series', {</t>
        </is>
      </c>
    </row>
    <row r="139">
      <c r="A139" s="45" t="inlineStr">
        <is>
          <t xml:space="preserve">      0: {color: '#2E7D57', lineWidth: 3},</t>
        </is>
      </c>
    </row>
    <row r="140">
      <c r="A140" s="45" t="inlineStr">
        <is>
          <t xml:space="preserve">      1: {color: '#7AA5A9', lineDashStyle: [6, 4], lineWidth: 2, targetAxisIndex: 1}</t>
        </is>
      </c>
    </row>
    <row r="141">
      <c r="A141" s="45" t="inlineStr">
        <is>
          <t xml:space="preserve">    })</t>
        </is>
      </c>
    </row>
    <row r="142">
      <c r="A142" s="45" t="inlineStr">
        <is>
          <t xml:space="preserve">    .build();</t>
        </is>
      </c>
    </row>
    <row r="143">
      <c r="A143" s="45" t="inlineStr">
        <is>
          <t xml:space="preserve">  dashboard.insertChart(lineChart);</t>
        </is>
      </c>
    </row>
    <row r="144">
      <c r="A144" s="45" t="inlineStr"/>
    </row>
    <row r="145">
      <c r="A145" s="45" t="inlineStr">
        <is>
          <t xml:space="preserve">  const barChart = dashboard.newChart()</t>
        </is>
      </c>
    </row>
    <row r="146">
      <c r="A146" s="45" t="inlineStr">
        <is>
          <t xml:space="preserve">    .asBarChart()</t>
        </is>
      </c>
    </row>
    <row r="147">
      <c r="A147" s="45" t="inlineStr">
        <is>
          <t xml:space="preserve">    .addRange(helper.getRange('O1:P21'))</t>
        </is>
      </c>
    </row>
    <row r="148">
      <c r="A148" s="45" t="inlineStr">
        <is>
          <t xml:space="preserve">    .setPosition(38, 1, 0, 0)</t>
        </is>
      </c>
    </row>
    <row r="149">
      <c r="A149" s="45" t="inlineStr">
        <is>
          <t xml:space="preserve">    .setNumHeaders(1)</t>
        </is>
      </c>
    </row>
    <row r="150">
      <c r="A150" s="45" t="inlineStr">
        <is>
          <t xml:space="preserve">    .setOption('title', 'Habit Consistency (Top N)')</t>
        </is>
      </c>
    </row>
    <row r="151">
      <c r="A151" s="45" t="inlineStr">
        <is>
          <t xml:space="preserve">    .setOption('legend.position', 'none')</t>
        </is>
      </c>
    </row>
    <row r="152">
      <c r="A152" s="45" t="inlineStr">
        <is>
          <t xml:space="preserve">    .setOption('hAxis.title', 'Completion %')</t>
        </is>
      </c>
    </row>
    <row r="153">
      <c r="A153" s="45" t="inlineStr">
        <is>
          <t xml:space="preserve">    .setOption('vAxis.title', 'Habit')</t>
        </is>
      </c>
    </row>
    <row r="154">
      <c r="A154" s="45" t="inlineStr">
        <is>
          <t xml:space="preserve">    .setOption('hAxis.viewWindow.min', 0)</t>
        </is>
      </c>
    </row>
    <row r="155">
      <c r="A155" s="45" t="inlineStr">
        <is>
          <t xml:space="preserve">    .setOption('hAxis.viewWindow.max', 1)</t>
        </is>
      </c>
    </row>
    <row r="156">
      <c r="A156" s="45" t="inlineStr">
        <is>
          <t xml:space="preserve">    .setOption('annotations.alwaysOutside', true)</t>
        </is>
      </c>
    </row>
    <row r="157">
      <c r="A157" s="45" t="inlineStr">
        <is>
          <t xml:space="preserve">    .setOption('series', {0: {color: '#6BBF77'}})</t>
        </is>
      </c>
    </row>
    <row r="158">
      <c r="A158" s="45" t="inlineStr">
        <is>
          <t xml:space="preserve">    .build();</t>
        </is>
      </c>
    </row>
    <row r="159">
      <c r="A159" s="45" t="inlineStr">
        <is>
          <t xml:space="preserve">  dashboard.insertChart(barChart);</t>
        </is>
      </c>
    </row>
    <row r="160">
      <c r="A160" s="45" t="inlineStr"/>
    </row>
    <row r="161">
      <c r="A161" s="45" t="inlineStr">
        <is>
          <t xml:space="preserve">  const streakChart = dashboard.newChart()</t>
        </is>
      </c>
    </row>
    <row r="162">
      <c r="A162" s="45" t="inlineStr">
        <is>
          <t xml:space="preserve">    .asColumnChart()</t>
        </is>
      </c>
    </row>
    <row r="163">
      <c r="A163" s="45" t="inlineStr">
        <is>
          <t xml:space="preserve">    .addRange(helper.getRange('R1:T11'))</t>
        </is>
      </c>
    </row>
    <row r="164">
      <c r="A164" s="45" t="inlineStr">
        <is>
          <t xml:space="preserve">    .setPosition(24, 9, 0, 0)</t>
        </is>
      </c>
    </row>
    <row r="165">
      <c r="A165" s="45" t="inlineStr">
        <is>
          <t xml:space="preserve">    .setNumHeaders(1)</t>
        </is>
      </c>
    </row>
    <row r="166">
      <c r="A166" s="45" t="inlineStr">
        <is>
          <t xml:space="preserve">    .setOption('title', 'Streak Leaderboard')</t>
        </is>
      </c>
    </row>
    <row r="167">
      <c r="A167" s="45" t="inlineStr">
        <is>
          <t xml:space="preserve">    .setOption('legend.position', 'bottom')</t>
        </is>
      </c>
    </row>
    <row r="168">
      <c r="A168" s="45" t="inlineStr">
        <is>
          <t xml:space="preserve">    .setOption('hAxis.title', 'Habit')</t>
        </is>
      </c>
    </row>
    <row r="169">
      <c r="A169" s="45" t="inlineStr">
        <is>
          <t xml:space="preserve">    .setOption('vAxis.title', 'Days')</t>
        </is>
      </c>
    </row>
    <row r="170">
      <c r="A170" s="45" t="inlineStr">
        <is>
          <t xml:space="preserve">    .setOption('series', {</t>
        </is>
      </c>
    </row>
    <row r="171">
      <c r="A171" s="45" t="inlineStr">
        <is>
          <t xml:space="preserve">      0: {color: '#2E7D57'},</t>
        </is>
      </c>
    </row>
    <row r="172">
      <c r="A172" s="45" t="inlineStr">
        <is>
          <t xml:space="preserve">      1: {color: '#D9A441'}</t>
        </is>
      </c>
    </row>
    <row r="173">
      <c r="A173" s="45" t="inlineStr">
        <is>
          <t xml:space="preserve">    })</t>
        </is>
      </c>
    </row>
    <row r="174">
      <c r="A174" s="45" t="inlineStr">
        <is>
          <t xml:space="preserve">    .build();</t>
        </is>
      </c>
    </row>
    <row r="175">
      <c r="A175" s="45" t="inlineStr">
        <is>
          <t xml:space="preserve">  dashboard.insertChart(streakChart);</t>
        </is>
      </c>
    </row>
    <row r="176">
      <c r="A176" s="45" t="inlineStr"/>
    </row>
    <row r="177">
      <c r="A177" s="45" t="inlineStr">
        <is>
          <t xml:space="preserve">  const categoryChart = dashboard.newChart()</t>
        </is>
      </c>
    </row>
    <row r="178">
      <c r="A178" s="45" t="inlineStr">
        <is>
          <t xml:space="preserve">    .asColumnChart()</t>
        </is>
      </c>
    </row>
    <row r="179">
      <c r="A179" s="45" t="inlineStr">
        <is>
          <t xml:space="preserve">    .addRange(helper.getRange('U1:V10'))</t>
        </is>
      </c>
    </row>
    <row r="180">
      <c r="A180" s="45" t="inlineStr">
        <is>
          <t xml:space="preserve">    .setPosition(38, 9, 0, 0)</t>
        </is>
      </c>
    </row>
    <row r="181">
      <c r="A181" s="45" t="inlineStr">
        <is>
          <t xml:space="preserve">    .setNumHeaders(1)</t>
        </is>
      </c>
    </row>
    <row r="182">
      <c r="A182" s="45" t="inlineStr">
        <is>
          <t xml:space="preserve">    .setOption('title', 'Category Completion')</t>
        </is>
      </c>
    </row>
    <row r="183">
      <c r="A183" s="45" t="inlineStr">
        <is>
          <t xml:space="preserve">    .setOption('legend.position', 'none')</t>
        </is>
      </c>
    </row>
    <row r="184">
      <c r="A184" s="45" t="inlineStr">
        <is>
          <t xml:space="preserve">    .setOption('hAxis.title', 'Category')</t>
        </is>
      </c>
    </row>
    <row r="185">
      <c r="A185" s="45" t="inlineStr">
        <is>
          <t xml:space="preserve">    .setOption('vAxis.title', 'Avg Completion %')</t>
        </is>
      </c>
    </row>
    <row r="186">
      <c r="A186" s="45" t="inlineStr">
        <is>
          <t xml:space="preserve">    .setOption('vAxis.viewWindow.min', 0)</t>
        </is>
      </c>
    </row>
    <row r="187">
      <c r="A187" s="45" t="inlineStr">
        <is>
          <t xml:space="preserve">    .setOption('vAxis.viewWindow.max', 1)</t>
        </is>
      </c>
    </row>
    <row r="188">
      <c r="A188" s="45" t="inlineStr">
        <is>
          <t xml:space="preserve">    .setOption('series', {0: {color: '#7AA5A9'}})</t>
        </is>
      </c>
    </row>
    <row r="189">
      <c r="A189" s="45" t="inlineStr">
        <is>
          <t xml:space="preserve">    .build();</t>
        </is>
      </c>
    </row>
    <row r="190">
      <c r="A190" s="45" t="inlineStr">
        <is>
          <t xml:space="preserve">  dashboard.insertChart(categoryChart);</t>
        </is>
      </c>
    </row>
    <row r="191">
      <c r="A191" s="45" t="inlineStr"/>
    </row>
    <row r="192">
      <c r="A192" s="45" t="inlineStr">
        <is>
          <t xml:space="preserve">  const donutChart = dashboard.newChart()</t>
        </is>
      </c>
    </row>
    <row r="193">
      <c r="A193" s="45" t="inlineStr">
        <is>
          <t xml:space="preserve">    .asPieChart()</t>
        </is>
      </c>
    </row>
    <row r="194">
      <c r="A194" s="45" t="inlineStr">
        <is>
          <t xml:space="preserve">    .addRange(helper.getRange('W1:X3'))</t>
        </is>
      </c>
    </row>
    <row r="195">
      <c r="A195" s="45" t="inlineStr">
        <is>
          <t xml:space="preserve">    .setPosition(4, 16, 0, 0)</t>
        </is>
      </c>
    </row>
    <row r="196">
      <c r="A196" s="45" t="inlineStr">
        <is>
          <t xml:space="preserve">    .setNumHeaders(1)</t>
        </is>
      </c>
    </row>
    <row r="197">
      <c r="A197" s="45" t="inlineStr">
        <is>
          <t xml:space="preserve">    .setOption('title', 'Monthly Progress')</t>
        </is>
      </c>
    </row>
    <row r="198">
      <c r="A198" s="45" t="inlineStr">
        <is>
          <t xml:space="preserve">    .setOption('pieHole', 0.68)</t>
        </is>
      </c>
    </row>
    <row r="199">
      <c r="A199" s="45" t="inlineStr">
        <is>
          <t xml:space="preserve">    .setOption('legend.position', 'none')</t>
        </is>
      </c>
    </row>
    <row r="200">
      <c r="A200" s="45" t="inlineStr">
        <is>
          <t xml:space="preserve">    .setOption('pieSliceText', 'percentage')</t>
        </is>
      </c>
    </row>
    <row r="201">
      <c r="A201" s="45" t="inlineStr">
        <is>
          <t xml:space="preserve">    .setOption('slices', {</t>
        </is>
      </c>
    </row>
    <row r="202">
      <c r="A202" s="45" t="inlineStr">
        <is>
          <t xml:space="preserve">      0: {color: '#2E7D57'},</t>
        </is>
      </c>
    </row>
    <row r="203">
      <c r="A203" s="45" t="inlineStr">
        <is>
          <t xml:space="preserve">      1: {color: '#D6DEE2'}</t>
        </is>
      </c>
    </row>
    <row r="204">
      <c r="A204" s="45" t="inlineStr">
        <is>
          <t xml:space="preserve">    })</t>
        </is>
      </c>
    </row>
    <row r="205">
      <c r="A205" s="45" t="inlineStr">
        <is>
          <t xml:space="preserve">    .build();</t>
        </is>
      </c>
    </row>
    <row r="206">
      <c r="A206" s="45" t="inlineStr">
        <is>
          <t xml:space="preserve">  dashboard.insertChart(donutChart);</t>
        </is>
      </c>
    </row>
    <row r="207">
      <c r="A207" s="45" t="inlineStr">
        <is>
          <t>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9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6" t="inlineStr">
        <is>
          <t>HOW TO COPY &amp; USE</t>
        </is>
      </c>
    </row>
    <row r="2">
      <c r="A2" s="47" t="inlineStr"/>
    </row>
    <row r="3">
      <c r="A3" s="47" t="inlineStr">
        <is>
          <t>1. Upload SerenatasHabitTracker_Enhanced_Dashboard.xlsx to Google Drive and open it with Google Sheets.</t>
        </is>
      </c>
    </row>
    <row r="4">
      <c r="A4" s="47" t="inlineStr">
        <is>
          <t>2. Go to Extensions &gt; Apps Script and paste the full code from the AppScript tab or habit_dashboard.gs.</t>
        </is>
      </c>
    </row>
    <row r="5">
      <c r="A5" s="47" t="inlineStr">
        <is>
          <t>3. Run setupHabitDashboard() once so the file inserts checkboxes, refreshes named ranges, and rebuilds the charts as Google Sheets objects.</t>
        </is>
      </c>
    </row>
    <row r="6">
      <c r="A6" s="47" t="inlineStr">
        <is>
          <t>4. Change Tracker!D1 to any month-start date like 2026-04-01.</t>
        </is>
      </c>
    </row>
    <row r="7">
      <c r="A7" s="47" t="inlineStr">
        <is>
          <t>5. Keep editing the Habits sheet if you want different habits or categories.</t>
        </is>
      </c>
    </row>
    <row r="8">
      <c r="A8" s="47" t="inlineStr">
        <is>
          <t>6. Before you roll to a new month, run Tracker Tools &gt; Archive current month. That powers the Best Improvement KPI.</t>
        </is>
      </c>
    </row>
    <row r="9">
      <c r="A9" s="47" t="inlineStr">
        <is>
          <t>7. Mobile note: the dashboard is arranged as top KPIs, then trend, heatmap, and charts vertically so it remains readable on narrow screens.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2026-03-15T19:05:04Z</dcterms:created>
  <dcterms:modified xmlns:dcterms="http://purl.org/dc/terms/" xmlns:xsi="http://www.w3.org/2001/XMLSchema-instance" xsi:type="dcterms:W3CDTF">2026-03-15T19:05:04Z</dcterms:modified>
</cp:coreProperties>
</file>